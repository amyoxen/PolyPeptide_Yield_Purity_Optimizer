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/>
  </bookViews>
  <sheets>
    <sheet name="Entry" sheetId="1" r:id="rId1"/>
    <sheet name="Organized Data" sheetId="3" r:id="rId2"/>
    <sheet name="For Chart" sheetId="4" state="hidden" r:id="rId3"/>
  </sheets>
  <definedNames>
    <definedName name="test">Entry!$K$33:$K$39</definedName>
  </definedNames>
  <calcPr calcId="125725"/>
</workbook>
</file>

<file path=xl/calcChain.xml><?xml version="1.0" encoding="utf-8"?>
<calcChain xmlns="http://schemas.openxmlformats.org/spreadsheetml/2006/main">
  <c r="O37" i="1"/>
  <c r="F41" i="3"/>
  <c r="A106" i="1"/>
  <c r="A105"/>
  <c r="A104"/>
  <c r="A103"/>
  <c r="A102"/>
  <c r="A101"/>
  <c r="G2" i="4"/>
  <c r="E36" s="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B32"/>
  <c r="B31"/>
  <c r="B27"/>
  <c r="B26"/>
  <c r="B22"/>
  <c r="B21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B17"/>
  <c r="B16"/>
  <c r="L12"/>
  <c r="M12"/>
  <c r="N12"/>
  <c r="O12"/>
  <c r="P12"/>
  <c r="Q12"/>
  <c r="R12"/>
  <c r="S12"/>
  <c r="T12"/>
  <c r="U12"/>
  <c r="V12"/>
  <c r="W12"/>
  <c r="L11"/>
  <c r="M11"/>
  <c r="N11"/>
  <c r="O11"/>
  <c r="P11"/>
  <c r="Q11"/>
  <c r="R11"/>
  <c r="S11"/>
  <c r="T11"/>
  <c r="U11"/>
  <c r="V11"/>
  <c r="W11"/>
  <c r="L10"/>
  <c r="M10"/>
  <c r="N10"/>
  <c r="O10"/>
  <c r="P10"/>
  <c r="Q10"/>
  <c r="R10"/>
  <c r="S10"/>
  <c r="T10"/>
  <c r="U10"/>
  <c r="V10"/>
  <c r="W10"/>
  <c r="J10"/>
  <c r="K10"/>
  <c r="J11"/>
  <c r="K11"/>
  <c r="E12"/>
  <c r="F12"/>
  <c r="G12"/>
  <c r="H12"/>
  <c r="I12"/>
  <c r="J12"/>
  <c r="K12"/>
  <c r="E11"/>
  <c r="F11"/>
  <c r="G11"/>
  <c r="H11"/>
  <c r="I11"/>
  <c r="E10"/>
  <c r="F10"/>
  <c r="G10"/>
  <c r="H10"/>
  <c r="I10"/>
  <c r="C11"/>
  <c r="D11"/>
  <c r="B11"/>
  <c r="C10"/>
  <c r="D10"/>
  <c r="B10"/>
  <c r="C12"/>
  <c r="D12"/>
  <c r="B12"/>
  <c r="J36" l="1"/>
  <c r="T36"/>
  <c r="L36"/>
  <c r="D36"/>
  <c r="R36"/>
  <c r="V36"/>
  <c r="N36"/>
  <c r="F36"/>
  <c r="B36"/>
  <c r="P36"/>
  <c r="H36"/>
  <c r="W36"/>
  <c r="S36"/>
  <c r="O36"/>
  <c r="K36"/>
  <c r="G36"/>
  <c r="C36"/>
  <c r="U36"/>
  <c r="Q36"/>
  <c r="M36"/>
  <c r="I36"/>
  <c r="P9" i="1"/>
  <c r="C50" i="3"/>
  <c r="L52"/>
  <c r="J77" i="1"/>
  <c r="J78"/>
  <c r="J79"/>
  <c r="J80"/>
  <c r="J81"/>
  <c r="J82"/>
  <c r="J83"/>
  <c r="O33" l="1"/>
  <c r="K33" s="1"/>
  <c r="O89"/>
  <c r="K89" s="1"/>
  <c r="O90"/>
  <c r="K90" s="1"/>
  <c r="O91"/>
  <c r="K91" s="1"/>
  <c r="O92"/>
  <c r="K92" s="1"/>
  <c r="O93"/>
  <c r="K93" s="1"/>
  <c r="O94"/>
  <c r="K94" s="1"/>
  <c r="O88"/>
  <c r="K88" s="1"/>
  <c r="O78"/>
  <c r="O79"/>
  <c r="O80"/>
  <c r="O81"/>
  <c r="O82"/>
  <c r="O83"/>
  <c r="O77"/>
  <c r="O67"/>
  <c r="K67" s="1"/>
  <c r="O68"/>
  <c r="K68" s="1"/>
  <c r="O69"/>
  <c r="K69" s="1"/>
  <c r="O70"/>
  <c r="K70" s="1"/>
  <c r="O71"/>
  <c r="K71" s="1"/>
  <c r="O72"/>
  <c r="K72" s="1"/>
  <c r="O66"/>
  <c r="K66" s="1"/>
  <c r="O56"/>
  <c r="K56" s="1"/>
  <c r="O57"/>
  <c r="K57" s="1"/>
  <c r="O58"/>
  <c r="K58" s="1"/>
  <c r="O59"/>
  <c r="K59" s="1"/>
  <c r="O60"/>
  <c r="K60" s="1"/>
  <c r="O61"/>
  <c r="K61" s="1"/>
  <c r="O55"/>
  <c r="K55" s="1"/>
  <c r="O45"/>
  <c r="K45" s="1"/>
  <c r="O46"/>
  <c r="K46" s="1"/>
  <c r="O47"/>
  <c r="K47" s="1"/>
  <c r="O48"/>
  <c r="K48" s="1"/>
  <c r="O49"/>
  <c r="K49" s="1"/>
  <c r="O50"/>
  <c r="K50" s="1"/>
  <c r="O44"/>
  <c r="K44" s="1"/>
  <c r="O34"/>
  <c r="K34" s="1"/>
  <c r="O35"/>
  <c r="K35" s="1"/>
  <c r="O36"/>
  <c r="K36" s="1"/>
  <c r="K37"/>
  <c r="O38"/>
  <c r="K38" s="1"/>
  <c r="O39"/>
  <c r="K39" s="1"/>
  <c r="F46" i="3"/>
  <c r="G46"/>
  <c r="H46"/>
  <c r="I46"/>
  <c r="F47"/>
  <c r="G47"/>
  <c r="H47"/>
  <c r="I47"/>
  <c r="E47"/>
  <c r="E46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A43"/>
  <c r="D43" s="1"/>
  <c r="A42"/>
  <c r="D42" s="1"/>
  <c r="A41"/>
  <c r="D41" s="1"/>
  <c r="A40"/>
  <c r="D40" s="1"/>
  <c r="A38"/>
  <c r="D38" s="1"/>
  <c r="A39"/>
  <c r="D39" s="1"/>
  <c r="A36"/>
  <c r="D36" s="1"/>
  <c r="A35"/>
  <c r="D35" s="1"/>
  <c r="A33"/>
  <c r="D33" s="1"/>
  <c r="A34"/>
  <c r="D34" s="1"/>
  <c r="A32"/>
  <c r="D32" s="1"/>
  <c r="A31"/>
  <c r="D31" s="1"/>
  <c r="A29"/>
  <c r="D29" s="1"/>
  <c r="A28"/>
  <c r="D28" s="1"/>
  <c r="A26"/>
  <c r="D26" s="1"/>
  <c r="A27"/>
  <c r="D27" s="1"/>
  <c r="A25"/>
  <c r="A24"/>
  <c r="D24" s="1"/>
  <c r="A22"/>
  <c r="A21"/>
  <c r="D21" s="1"/>
  <c r="A20"/>
  <c r="D20" s="1"/>
  <c r="A19"/>
  <c r="D19" s="1"/>
  <c r="A18"/>
  <c r="D18" s="1"/>
  <c r="A17"/>
  <c r="D17" s="1"/>
  <c r="A15"/>
  <c r="D15" s="1"/>
  <c r="A14"/>
  <c r="D14" s="1"/>
  <c r="A13"/>
  <c r="D13" s="1"/>
  <c r="A12"/>
  <c r="D12" s="1"/>
  <c r="A11"/>
  <c r="D11" s="1"/>
  <c r="A10"/>
  <c r="D10" s="1"/>
  <c r="A8"/>
  <c r="A7"/>
  <c r="D7" s="1"/>
  <c r="A6"/>
  <c r="D6" s="1"/>
  <c r="A5"/>
  <c r="D5" s="1"/>
  <c r="A4"/>
  <c r="D4" s="1"/>
  <c r="A3"/>
  <c r="D3" s="1"/>
  <c r="D25"/>
  <c r="D8"/>
  <c r="D22"/>
  <c r="N43"/>
  <c r="I43"/>
  <c r="H43"/>
  <c r="G43"/>
  <c r="F43"/>
  <c r="E43"/>
  <c r="N42"/>
  <c r="I42"/>
  <c r="H42"/>
  <c r="G42"/>
  <c r="F42"/>
  <c r="E42"/>
  <c r="N41"/>
  <c r="I41"/>
  <c r="H41"/>
  <c r="G41"/>
  <c r="E41"/>
  <c r="N40"/>
  <c r="I40"/>
  <c r="H40"/>
  <c r="G40"/>
  <c r="F40"/>
  <c r="E40"/>
  <c r="N39"/>
  <c r="I39"/>
  <c r="H39"/>
  <c r="G39"/>
  <c r="F39"/>
  <c r="E39"/>
  <c r="N38"/>
  <c r="I38"/>
  <c r="H38"/>
  <c r="G38"/>
  <c r="F38"/>
  <c r="E38"/>
  <c r="N37"/>
  <c r="I37"/>
  <c r="H37"/>
  <c r="G37"/>
  <c r="F37"/>
  <c r="E37"/>
  <c r="B37"/>
  <c r="A37"/>
  <c r="D37" s="1"/>
  <c r="N36"/>
  <c r="I36"/>
  <c r="H36"/>
  <c r="G36"/>
  <c r="F36"/>
  <c r="E36"/>
  <c r="N35"/>
  <c r="I35"/>
  <c r="H35"/>
  <c r="G35"/>
  <c r="F35"/>
  <c r="E35"/>
  <c r="N34"/>
  <c r="I34"/>
  <c r="H34"/>
  <c r="G34"/>
  <c r="F34"/>
  <c r="E34"/>
  <c r="N33"/>
  <c r="I33"/>
  <c r="H33"/>
  <c r="G33"/>
  <c r="F33"/>
  <c r="E33"/>
  <c r="N32"/>
  <c r="I32"/>
  <c r="H32"/>
  <c r="G32"/>
  <c r="F32"/>
  <c r="E32"/>
  <c r="N31"/>
  <c r="I31"/>
  <c r="H31"/>
  <c r="G31"/>
  <c r="F31"/>
  <c r="E31"/>
  <c r="N30"/>
  <c r="I30"/>
  <c r="H30"/>
  <c r="G30"/>
  <c r="F30"/>
  <c r="E30"/>
  <c r="B30"/>
  <c r="A30"/>
  <c r="D30" s="1"/>
  <c r="N29"/>
  <c r="I29"/>
  <c r="H29"/>
  <c r="G29"/>
  <c r="F29"/>
  <c r="E29"/>
  <c r="N28"/>
  <c r="I28"/>
  <c r="H28"/>
  <c r="G28"/>
  <c r="F28"/>
  <c r="E28"/>
  <c r="N27"/>
  <c r="I27"/>
  <c r="H27"/>
  <c r="G27"/>
  <c r="F27"/>
  <c r="E27"/>
  <c r="N26"/>
  <c r="I26"/>
  <c r="H26"/>
  <c r="G26"/>
  <c r="F26"/>
  <c r="E26"/>
  <c r="N25"/>
  <c r="I25"/>
  <c r="H25"/>
  <c r="G25"/>
  <c r="F25"/>
  <c r="E25"/>
  <c r="N24"/>
  <c r="I24"/>
  <c r="H24"/>
  <c r="G24"/>
  <c r="F24"/>
  <c r="E24"/>
  <c r="N23"/>
  <c r="I23"/>
  <c r="H23"/>
  <c r="G23"/>
  <c r="F23"/>
  <c r="E23"/>
  <c r="B23"/>
  <c r="A23"/>
  <c r="D23" s="1"/>
  <c r="N22"/>
  <c r="I22"/>
  <c r="H22"/>
  <c r="G22"/>
  <c r="F22"/>
  <c r="E22"/>
  <c r="N21"/>
  <c r="I21"/>
  <c r="H21"/>
  <c r="G21"/>
  <c r="F21"/>
  <c r="E21"/>
  <c r="N20"/>
  <c r="I20"/>
  <c r="H20"/>
  <c r="G20"/>
  <c r="F20"/>
  <c r="E20"/>
  <c r="N19"/>
  <c r="I19"/>
  <c r="H19"/>
  <c r="G19"/>
  <c r="F19"/>
  <c r="E19"/>
  <c r="N18"/>
  <c r="I18"/>
  <c r="H18"/>
  <c r="G18"/>
  <c r="F18"/>
  <c r="E18"/>
  <c r="N17"/>
  <c r="I17"/>
  <c r="H17"/>
  <c r="G17"/>
  <c r="F17"/>
  <c r="E17"/>
  <c r="N16"/>
  <c r="I16"/>
  <c r="H16"/>
  <c r="G16"/>
  <c r="F16"/>
  <c r="E16"/>
  <c r="B16"/>
  <c r="A16"/>
  <c r="D16" s="1"/>
  <c r="N15"/>
  <c r="I15"/>
  <c r="H15"/>
  <c r="G15"/>
  <c r="F15"/>
  <c r="E15"/>
  <c r="N14"/>
  <c r="I14"/>
  <c r="H14"/>
  <c r="G14"/>
  <c r="F14"/>
  <c r="E14"/>
  <c r="N13"/>
  <c r="I13"/>
  <c r="H13"/>
  <c r="G13"/>
  <c r="F13"/>
  <c r="E13"/>
  <c r="N12"/>
  <c r="I12"/>
  <c r="H12"/>
  <c r="G12"/>
  <c r="F12"/>
  <c r="E12"/>
  <c r="N11"/>
  <c r="I11"/>
  <c r="H11"/>
  <c r="G11"/>
  <c r="F11"/>
  <c r="E11"/>
  <c r="N10"/>
  <c r="I10"/>
  <c r="H10"/>
  <c r="G10"/>
  <c r="F10"/>
  <c r="E10"/>
  <c r="N9"/>
  <c r="I9"/>
  <c r="H9"/>
  <c r="G9"/>
  <c r="F9"/>
  <c r="E9"/>
  <c r="B9"/>
  <c r="A9"/>
  <c r="D9" s="1"/>
  <c r="A2"/>
  <c r="D2" s="1"/>
  <c r="N3"/>
  <c r="N4"/>
  <c r="N5"/>
  <c r="N6"/>
  <c r="N7"/>
  <c r="N8"/>
  <c r="N2"/>
  <c r="E7"/>
  <c r="F7"/>
  <c r="G7"/>
  <c r="H7"/>
  <c r="I7"/>
  <c r="E8"/>
  <c r="F8"/>
  <c r="G8"/>
  <c r="H8"/>
  <c r="I8"/>
  <c r="E3"/>
  <c r="F3"/>
  <c r="G3"/>
  <c r="H3"/>
  <c r="I3"/>
  <c r="E4"/>
  <c r="F4"/>
  <c r="G4"/>
  <c r="H4"/>
  <c r="I4"/>
  <c r="E5"/>
  <c r="F5"/>
  <c r="G5"/>
  <c r="H5"/>
  <c r="I5"/>
  <c r="E6"/>
  <c r="F6"/>
  <c r="G6"/>
  <c r="H6"/>
  <c r="I6"/>
  <c r="F2"/>
  <c r="G2"/>
  <c r="H2"/>
  <c r="I2"/>
  <c r="B2"/>
  <c r="E2"/>
  <c r="J33" i="1"/>
  <c r="C49" i="3"/>
  <c r="J94" i="1"/>
  <c r="J93"/>
  <c r="J92"/>
  <c r="J91"/>
  <c r="J90"/>
  <c r="J89"/>
  <c r="J88"/>
  <c r="J72"/>
  <c r="J71"/>
  <c r="J70"/>
  <c r="J69"/>
  <c r="J68"/>
  <c r="J67"/>
  <c r="J66"/>
  <c r="J61"/>
  <c r="J60"/>
  <c r="J59"/>
  <c r="J58"/>
  <c r="J57"/>
  <c r="J56"/>
  <c r="J55"/>
  <c r="J50"/>
  <c r="J49"/>
  <c r="J48"/>
  <c r="J47"/>
  <c r="J46"/>
  <c r="J45"/>
  <c r="J44"/>
  <c r="J39"/>
  <c r="J38"/>
  <c r="J37"/>
  <c r="J36"/>
  <c r="J35"/>
  <c r="J34"/>
  <c r="D23"/>
  <c r="A15"/>
  <c r="M9"/>
  <c r="J9"/>
  <c r="G9"/>
  <c r="D9"/>
  <c r="K83" l="1"/>
  <c r="L83" s="1"/>
  <c r="K82"/>
  <c r="L82" s="1"/>
  <c r="K81"/>
  <c r="L81" s="1"/>
  <c r="K80"/>
  <c r="L80" s="1"/>
  <c r="K79"/>
  <c r="L79" s="1"/>
  <c r="K78"/>
  <c r="K77"/>
  <c r="O16"/>
  <c r="P16" s="1"/>
  <c r="O15"/>
  <c r="P15" s="1"/>
  <c r="F15"/>
  <c r="G15" s="1"/>
  <c r="F16"/>
  <c r="G16" s="1"/>
  <c r="K5" i="3"/>
  <c r="L49" i="1"/>
  <c r="L35"/>
  <c r="L39"/>
  <c r="I52" i="3"/>
  <c r="L45" i="1"/>
  <c r="L92"/>
  <c r="L37"/>
  <c r="L44"/>
  <c r="L48"/>
  <c r="L88"/>
  <c r="L47"/>
  <c r="L55"/>
  <c r="L71"/>
  <c r="L91"/>
  <c r="L34"/>
  <c r="L38"/>
  <c r="L94"/>
  <c r="C102"/>
  <c r="I102" s="1"/>
  <c r="C106"/>
  <c r="K106" s="1"/>
  <c r="L58"/>
  <c r="L66"/>
  <c r="L93"/>
  <c r="L89"/>
  <c r="L33"/>
  <c r="C103"/>
  <c r="H103" s="1"/>
  <c r="L56"/>
  <c r="C104"/>
  <c r="K104" s="1"/>
  <c r="L36"/>
  <c r="L59"/>
  <c r="L90"/>
  <c r="L68"/>
  <c r="L72"/>
  <c r="L57"/>
  <c r="L61"/>
  <c r="L46"/>
  <c r="L50"/>
  <c r="C101"/>
  <c r="F52" i="3"/>
  <c r="H52"/>
  <c r="E52"/>
  <c r="G52"/>
  <c r="K2"/>
  <c r="K41"/>
  <c r="M41" s="1"/>
  <c r="K11"/>
  <c r="M11" s="1"/>
  <c r="K4"/>
  <c r="M4" s="1"/>
  <c r="K25"/>
  <c r="M25" s="1"/>
  <c r="K27"/>
  <c r="M27" s="1"/>
  <c r="K28"/>
  <c r="M28" s="1"/>
  <c r="K37"/>
  <c r="M37" s="1"/>
  <c r="K42"/>
  <c r="M42" s="1"/>
  <c r="K12"/>
  <c r="M12" s="1"/>
  <c r="K16"/>
  <c r="M16" s="1"/>
  <c r="K19"/>
  <c r="M19" s="1"/>
  <c r="K23"/>
  <c r="M23" s="1"/>
  <c r="K24"/>
  <c r="M24" s="1"/>
  <c r="K30"/>
  <c r="M30" s="1"/>
  <c r="K33"/>
  <c r="M33" s="1"/>
  <c r="K38"/>
  <c r="M38" s="1"/>
  <c r="K43"/>
  <c r="M43" s="1"/>
  <c r="K13"/>
  <c r="M13" s="1"/>
  <c r="K14"/>
  <c r="M14" s="1"/>
  <c r="K15"/>
  <c r="M15" s="1"/>
  <c r="K17"/>
  <c r="M17" s="1"/>
  <c r="K18"/>
  <c r="M18" s="1"/>
  <c r="K20"/>
  <c r="M20" s="1"/>
  <c r="K31"/>
  <c r="M31" s="1"/>
  <c r="K32"/>
  <c r="M32" s="1"/>
  <c r="K34"/>
  <c r="M34" s="1"/>
  <c r="K39"/>
  <c r="M39" s="1"/>
  <c r="K9"/>
  <c r="M9" s="1"/>
  <c r="K10"/>
  <c r="M10" s="1"/>
  <c r="K21"/>
  <c r="M21" s="1"/>
  <c r="K22"/>
  <c r="M22" s="1"/>
  <c r="K26"/>
  <c r="M26" s="1"/>
  <c r="K29"/>
  <c r="M29" s="1"/>
  <c r="K35"/>
  <c r="M35" s="1"/>
  <c r="K36"/>
  <c r="M36" s="1"/>
  <c r="K40"/>
  <c r="M40" s="1"/>
  <c r="K6"/>
  <c r="M6" s="1"/>
  <c r="M5"/>
  <c r="K7"/>
  <c r="M7" s="1"/>
  <c r="K3"/>
  <c r="M3" s="1"/>
  <c r="K8"/>
  <c r="M8" s="1"/>
  <c r="C15" i="1"/>
  <c r="D15" s="1"/>
  <c r="L16"/>
  <c r="M16" s="1"/>
  <c r="L67"/>
  <c r="L69"/>
  <c r="L70"/>
  <c r="I15"/>
  <c r="J15" s="1"/>
  <c r="L15"/>
  <c r="M15" s="1"/>
  <c r="C16"/>
  <c r="D16" s="1"/>
  <c r="I16"/>
  <c r="J16" s="1"/>
  <c r="L60"/>
  <c r="L77" l="1"/>
  <c r="E106"/>
  <c r="F106" s="1"/>
  <c r="C105"/>
  <c r="J105" s="1"/>
  <c r="L78"/>
  <c r="M2" i="3"/>
  <c r="K52"/>
  <c r="E102" i="1"/>
  <c r="F102" s="1"/>
  <c r="E101"/>
  <c r="F101" s="1"/>
  <c r="H104"/>
  <c r="I104"/>
  <c r="J104"/>
  <c r="J101"/>
  <c r="K103"/>
  <c r="D103"/>
  <c r="D106"/>
  <c r="I103"/>
  <c r="H106"/>
  <c r="I106"/>
  <c r="J103"/>
  <c r="J106"/>
  <c r="D102"/>
  <c r="J102"/>
  <c r="H101"/>
  <c r="D101"/>
  <c r="L51"/>
  <c r="B102" s="1"/>
  <c r="L95"/>
  <c r="B106" s="1"/>
  <c r="I101"/>
  <c r="K101"/>
  <c r="H102"/>
  <c r="K102"/>
  <c r="L40"/>
  <c r="D104"/>
  <c r="L62"/>
  <c r="B103" s="1"/>
  <c r="L73"/>
  <c r="B104" s="1"/>
  <c r="E104"/>
  <c r="F104" s="1"/>
  <c r="E103"/>
  <c r="F103" s="1"/>
  <c r="E105" l="1"/>
  <c r="F105" s="1"/>
  <c r="H105"/>
  <c r="K105"/>
  <c r="I105"/>
  <c r="L84"/>
  <c r="B105" s="1"/>
  <c r="C107"/>
  <c r="D105"/>
  <c r="B101"/>
  <c r="E107"/>
  <c r="I107" l="1"/>
  <c r="D6" i="4" s="1"/>
  <c r="I20" s="1"/>
  <c r="B108" i="1"/>
  <c r="K107"/>
  <c r="F6" i="4" s="1"/>
  <c r="D30" s="1"/>
  <c r="H107" i="1"/>
  <c r="C6" i="4" s="1"/>
  <c r="F15" s="1"/>
  <c r="D108" i="1"/>
  <c r="B6" i="4" s="1"/>
  <c r="O9" s="1"/>
  <c r="J107" i="1"/>
  <c r="E6" i="4" s="1"/>
  <c r="F25" s="1"/>
  <c r="F108" i="1"/>
  <c r="G6" i="4"/>
  <c r="V20" l="1"/>
  <c r="W20"/>
  <c r="C20"/>
  <c r="U20"/>
  <c r="B20"/>
  <c r="G20"/>
  <c r="H20"/>
  <c r="N20"/>
  <c r="K20"/>
  <c r="L20"/>
  <c r="M20"/>
  <c r="F20"/>
  <c r="E20"/>
  <c r="R20"/>
  <c r="S20"/>
  <c r="P20"/>
  <c r="Q20"/>
  <c r="J20"/>
  <c r="O20"/>
  <c r="T20"/>
  <c r="D20"/>
  <c r="L30"/>
  <c r="O30"/>
  <c r="R30"/>
  <c r="M30"/>
  <c r="I30"/>
  <c r="S30"/>
  <c r="P30"/>
  <c r="J30"/>
  <c r="B30"/>
  <c r="U30"/>
  <c r="N30"/>
  <c r="G30"/>
  <c r="S25"/>
  <c r="E30"/>
  <c r="W30"/>
  <c r="C30"/>
  <c r="H30"/>
  <c r="C25"/>
  <c r="P25"/>
  <c r="Q30"/>
  <c r="V30"/>
  <c r="F30"/>
  <c r="K30"/>
  <c r="T30"/>
  <c r="G15"/>
  <c r="U25"/>
  <c r="V15"/>
  <c r="I15"/>
  <c r="S15"/>
  <c r="E15"/>
  <c r="M15"/>
  <c r="E25"/>
  <c r="N15"/>
  <c r="J15"/>
  <c r="B15"/>
  <c r="R15"/>
  <c r="C15"/>
  <c r="K15"/>
  <c r="O15"/>
  <c r="H15"/>
  <c r="U15"/>
  <c r="T15"/>
  <c r="L15"/>
  <c r="P15"/>
  <c r="Q15"/>
  <c r="W15"/>
  <c r="D15"/>
  <c r="N25"/>
  <c r="D9"/>
  <c r="N9"/>
  <c r="S9"/>
  <c r="C9"/>
  <c r="T9"/>
  <c r="V9"/>
  <c r="H25"/>
  <c r="M25"/>
  <c r="V25"/>
  <c r="K25"/>
  <c r="F9"/>
  <c r="M9"/>
  <c r="G9"/>
  <c r="K9"/>
  <c r="W9"/>
  <c r="L25"/>
  <c r="Q25"/>
  <c r="B25"/>
  <c r="J25"/>
  <c r="O25"/>
  <c r="L9"/>
  <c r="R9"/>
  <c r="I9"/>
  <c r="H9"/>
  <c r="P9"/>
  <c r="U9"/>
  <c r="B9"/>
  <c r="J9"/>
  <c r="E9"/>
  <c r="Q9"/>
  <c r="T25"/>
  <c r="D25"/>
  <c r="I25"/>
  <c r="R25"/>
  <c r="W25"/>
  <c r="G25"/>
  <c r="E35"/>
  <c r="I35"/>
  <c r="M35"/>
  <c r="Q35"/>
  <c r="U35"/>
  <c r="D35"/>
  <c r="H35"/>
  <c r="L35"/>
  <c r="P35"/>
  <c r="T35"/>
  <c r="B35"/>
  <c r="C35"/>
  <c r="G35"/>
  <c r="K35"/>
  <c r="O35"/>
  <c r="S35"/>
  <c r="W35"/>
  <c r="F35"/>
  <c r="J35"/>
  <c r="N35"/>
  <c r="R35"/>
  <c r="V35"/>
</calcChain>
</file>

<file path=xl/sharedStrings.xml><?xml version="1.0" encoding="utf-8"?>
<sst xmlns="http://schemas.openxmlformats.org/spreadsheetml/2006/main" count="245" uniqueCount="82">
  <si>
    <t>DESALTING YIELD CALCULATIONS FOR COSYNTROPIN API</t>
  </si>
  <si>
    <t>STANDARD ANALYSIS AT 275nm</t>
  </si>
  <si>
    <t>Standard Concentration (mg/mL)</t>
  </si>
  <si>
    <t>04/22/13 (HPLC #04-00096)</t>
  </si>
  <si>
    <t>04/22/13 (HPLC #04-00089)</t>
  </si>
  <si>
    <t>06/01/13 (HPLC #04-00096)</t>
  </si>
  <si>
    <t>06/02/13 (HPLC #04-00094)</t>
  </si>
  <si>
    <t>06/01/13 (HPLC #04-00089)</t>
  </si>
  <si>
    <t>Ret. Time (min)</t>
  </si>
  <si>
    <t>Area %</t>
  </si>
  <si>
    <t>Peak Area</t>
  </si>
  <si>
    <t>Average</t>
  </si>
  <si>
    <t>STANDARD CHECK AT 275nm</t>
  </si>
  <si>
    <t>% Recovery</t>
  </si>
  <si>
    <t>Pass / Fail</t>
  </si>
  <si>
    <t>STARTING PURE PEPTIDE WEIGHT</t>
  </si>
  <si>
    <t>From Purification</t>
  </si>
  <si>
    <t>Per Desalt Run</t>
  </si>
  <si>
    <t>Total Wt. of Pure Peptide (g)</t>
  </si>
  <si>
    <t>.</t>
  </si>
  <si>
    <t>SAMPLE ANALYSIS FOR COSYNTROPIN AT 275nm</t>
  </si>
  <si>
    <t>Note:</t>
  </si>
  <si>
    <t>8-9 fractions collected per run, but only tested from Fraction #3 to the last fraction</t>
  </si>
  <si>
    <t>Run Name (Lot#, Run#)</t>
  </si>
  <si>
    <t>Standard Concentration Peak Area for Run</t>
  </si>
  <si>
    <t>Fraction #</t>
  </si>
  <si>
    <t>Area Percent (%)</t>
  </si>
  <si>
    <t>Area % of Impurity 0.91</t>
  </si>
  <si>
    <t>Area % of Impurity 0.94</t>
  </si>
  <si>
    <t>Area % of Impurity 0.97</t>
  </si>
  <si>
    <t>Area % of Impurity 1.1</t>
  </si>
  <si>
    <t>Fraction Conc. (mg/mL)</t>
  </si>
  <si>
    <t>Solution Weight (g)</t>
  </si>
  <si>
    <t>Wt. of Peptide (g)</t>
  </si>
  <si>
    <t>Total</t>
  </si>
  <si>
    <t>Standard Concentration Peak Area</t>
  </si>
  <si>
    <t>SUMMARY</t>
  </si>
  <si>
    <t>Total % Recovery / Run (All Fractions)</t>
  </si>
  <si>
    <r>
      <t>Product Pool (</t>
    </r>
    <r>
      <rPr>
        <b/>
        <sz val="9"/>
        <rFont val="Arial"/>
        <family val="2"/>
      </rPr>
      <t>≥</t>
    </r>
    <r>
      <rPr>
        <b/>
        <sz val="9"/>
        <rFont val="Arial"/>
        <family val="2"/>
      </rPr>
      <t>80%)</t>
    </r>
  </si>
  <si>
    <t>Total Weight of Solution (g)</t>
  </si>
  <si>
    <t>% Purity (Weighted Area Percent)</t>
  </si>
  <si>
    <t>Wt. of Peptide in Fractions (g)</t>
  </si>
  <si>
    <t>% Recovery of Pure Peptide</t>
  </si>
  <si>
    <t>Run Name</t>
  </si>
  <si>
    <t>Weighted Area % of Impurity at RRT 0.91</t>
  </si>
  <si>
    <t>Weighted Area % of Impurity at RRT 0.94</t>
  </si>
  <si>
    <t>Weighted Area % of Impurity at RRT 0.97</t>
  </si>
  <si>
    <t>Weighted Area % of Impurity at RRT 1.1</t>
  </si>
  <si>
    <t>Desalting-042513-1</t>
  </si>
  <si>
    <t>Desalting-042513-2</t>
  </si>
  <si>
    <t>Desalting-042513-3</t>
  </si>
  <si>
    <t>Desalting-042513-4</t>
  </si>
  <si>
    <t>Desalting-042513-5</t>
  </si>
  <si>
    <t>Desalting-042513-6</t>
  </si>
  <si>
    <t>RRT 0.91</t>
  </si>
  <si>
    <t>RRT 0.94</t>
  </si>
  <si>
    <t>RRT 0.97</t>
  </si>
  <si>
    <t>RRT 1.1</t>
  </si>
  <si>
    <t>MIN</t>
  </si>
  <si>
    <t>MAX</t>
  </si>
  <si>
    <t>Purity (91.5%)</t>
  </si>
  <si>
    <t>Specification</t>
  </si>
  <si>
    <t>Name</t>
  </si>
  <si>
    <t>Calculated Data</t>
  </si>
  <si>
    <t xml:space="preserve">Solution Weight Limit(g) </t>
  </si>
  <si>
    <t>Calculated Solution Weight (g)</t>
  </si>
  <si>
    <t>Solution Weight Limit(g)</t>
  </si>
  <si>
    <t>target</t>
  </si>
  <si>
    <t>Optimized Result</t>
  </si>
  <si>
    <t>Upper Bound</t>
  </si>
  <si>
    <t>Lower Bound</t>
  </si>
  <si>
    <t>Target</t>
  </si>
  <si>
    <t>042513-2</t>
  </si>
  <si>
    <t>042513-3</t>
  </si>
  <si>
    <t>042513-4</t>
  </si>
  <si>
    <t>042513-5</t>
  </si>
  <si>
    <t>042513-6</t>
  </si>
  <si>
    <t>042513-1</t>
  </si>
  <si>
    <t>Internal Spec</t>
  </si>
  <si>
    <t>USP Spec</t>
  </si>
  <si>
    <t xml:space="preserve">Yield </t>
  </si>
  <si>
    <t>Yield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</si>
</sst>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0.0000"/>
    <numFmt numFmtId="166" formatCode="0.00000"/>
    <numFmt numFmtId="167" formatCode="0.0"/>
    <numFmt numFmtId="168" formatCode="0.0000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b/>
      <u/>
      <sz val="9"/>
      <name val="Arial"/>
      <family val="2"/>
    </font>
    <font>
      <b/>
      <sz val="9"/>
      <name val="Arial"/>
      <family val="2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8" borderId="8" applyNumberFormat="0" applyAlignment="0" applyProtection="0"/>
  </cellStyleXfs>
  <cellXfs count="193">
    <xf numFmtId="0" fontId="0" fillId="0" borderId="0" xfId="0"/>
    <xf numFmtId="0" fontId="0" fillId="0" borderId="0" xfId="0" applyFill="1" applyAlignment="1"/>
    <xf numFmtId="0" fontId="4" fillId="0" borderId="0" xfId="0" applyFont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Fill="1"/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Border="1" applyAlignment="1"/>
    <xf numFmtId="0" fontId="4" fillId="0" borderId="0" xfId="0" applyFont="1" applyAlignment="1"/>
    <xf numFmtId="0" fontId="7" fillId="2" borderId="1" xfId="0" applyFont="1" applyFill="1" applyBorder="1" applyAlignment="1">
      <alignment horizontal="center" vertical="center" wrapText="1"/>
    </xf>
    <xf numFmtId="14" fontId="7" fillId="2" borderId="1" xfId="0" applyNumberFormat="1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166" fontId="4" fillId="3" borderId="1" xfId="0" applyNumberFormat="1" applyFont="1" applyFill="1" applyBorder="1" applyAlignment="1">
      <alignment horizontal="center" vertical="center" wrapText="1"/>
    </xf>
    <xf numFmtId="166" fontId="4" fillId="3" borderId="1" xfId="0" applyNumberFormat="1" applyFont="1" applyFill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167" fontId="7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168" fontId="7" fillId="2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2" fontId="4" fillId="0" borderId="1" xfId="0" applyNumberFormat="1" applyFont="1" applyBorder="1" applyAlignment="1">
      <alignment horizontal="center" vertical="center" wrapText="1"/>
    </xf>
    <xf numFmtId="0" fontId="7" fillId="0" borderId="0" xfId="0" applyFont="1"/>
    <xf numFmtId="49" fontId="7" fillId="2" borderId="1" xfId="0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168" fontId="4" fillId="0" borderId="1" xfId="0" applyNumberFormat="1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0" fontId="2" fillId="0" borderId="0" xfId="0" applyFont="1" applyAlignment="1">
      <alignment vertical="center"/>
    </xf>
    <xf numFmtId="10" fontId="7" fillId="0" borderId="1" xfId="1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10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7" fontId="4" fillId="0" borderId="1" xfId="0" applyNumberFormat="1" applyFont="1" applyFill="1" applyBorder="1" applyAlignment="1">
      <alignment horizontal="center" vertical="center" wrapText="1"/>
    </xf>
    <xf numFmtId="2" fontId="4" fillId="0" borderId="0" xfId="0" applyNumberFormat="1" applyFont="1" applyFill="1" applyBorder="1" applyAlignment="1">
      <alignment horizontal="center" vertical="center" wrapText="1"/>
    </xf>
    <xf numFmtId="10" fontId="4" fillId="2" borderId="1" xfId="1" applyNumberFormat="1" applyFont="1" applyFill="1" applyBorder="1" applyAlignment="1">
      <alignment horizontal="center" vertical="center"/>
    </xf>
    <xf numFmtId="2" fontId="7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/>
    <xf numFmtId="167" fontId="7" fillId="0" borderId="1" xfId="0" applyNumberFormat="1" applyFont="1" applyBorder="1" applyAlignment="1">
      <alignment horizontal="center" vertical="center" wrapText="1"/>
    </xf>
    <xf numFmtId="2" fontId="7" fillId="0" borderId="0" xfId="0" applyNumberFormat="1" applyFont="1" applyFill="1" applyBorder="1" applyAlignment="1">
      <alignment horizontal="center" vertical="center" wrapText="1"/>
    </xf>
    <xf numFmtId="10" fontId="7" fillId="0" borderId="1" xfId="1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167" fontId="7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7" fillId="0" borderId="1" xfId="0" applyFont="1" applyBorder="1"/>
    <xf numFmtId="0" fontId="7" fillId="2" borderId="1" xfId="0" applyFont="1" applyFill="1" applyBorder="1" applyAlignment="1">
      <alignment horizontal="center" vertical="center" wrapText="1"/>
    </xf>
    <xf numFmtId="2" fontId="0" fillId="0" borderId="0" xfId="0" applyNumberFormat="1"/>
    <xf numFmtId="0" fontId="7" fillId="0" borderId="0" xfId="0" applyFont="1" applyBorder="1"/>
    <xf numFmtId="167" fontId="0" fillId="0" borderId="0" xfId="0" applyNumberFormat="1"/>
    <xf numFmtId="0" fontId="0" fillId="0" borderId="0" xfId="0" applyBorder="1"/>
    <xf numFmtId="0" fontId="7" fillId="6" borderId="5" xfId="0" applyFont="1" applyFill="1" applyBorder="1" applyAlignment="1">
      <alignment vertical="center" wrapText="1"/>
    </xf>
    <xf numFmtId="0" fontId="7" fillId="6" borderId="6" xfId="0" applyFont="1" applyFill="1" applyBorder="1" applyAlignment="1">
      <alignment vertical="center" wrapText="1"/>
    </xf>
    <xf numFmtId="0" fontId="7" fillId="6" borderId="7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167" fontId="8" fillId="8" borderId="8" xfId="2" applyNumberFormat="1" applyAlignment="1">
      <alignment horizontal="center" vertical="center" wrapText="1"/>
    </xf>
    <xf numFmtId="0" fontId="0" fillId="0" borderId="0" xfId="0"/>
    <xf numFmtId="0" fontId="7" fillId="2" borderId="1" xfId="0" applyFont="1" applyFill="1" applyBorder="1" applyAlignment="1">
      <alignment horizontal="center" vertical="center" wrapText="1"/>
    </xf>
    <xf numFmtId="14" fontId="7" fillId="2" borderId="1" xfId="0" applyNumberFormat="1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/>
    </xf>
    <xf numFmtId="168" fontId="7" fillId="2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6" fontId="4" fillId="3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4" fillId="0" borderId="1" xfId="0" applyFont="1" applyBorder="1"/>
    <xf numFmtId="0" fontId="9" fillId="0" borderId="0" xfId="0" applyFont="1"/>
    <xf numFmtId="2" fontId="4" fillId="4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0" fontId="0" fillId="0" borderId="0" xfId="0"/>
    <xf numFmtId="0" fontId="7" fillId="0" borderId="0" xfId="0" applyFont="1"/>
    <xf numFmtId="10" fontId="7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Border="1"/>
    <xf numFmtId="165" fontId="7" fillId="9" borderId="1" xfId="0" applyNumberFormat="1" applyFont="1" applyFill="1" applyBorder="1" applyAlignment="1">
      <alignment horizontal="center" vertical="center"/>
    </xf>
    <xf numFmtId="0" fontId="4" fillId="0" borderId="9" xfId="0" applyFont="1" applyFill="1" applyBorder="1"/>
    <xf numFmtId="0" fontId="4" fillId="0" borderId="1" xfId="0" applyFont="1" applyFill="1" applyBorder="1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5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5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5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5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5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5" xfId="0" applyFont="1" applyFill="1" applyBorder="1" applyAlignment="1">
      <alignment vertical="center" wrapText="1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6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67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167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167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167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167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167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" xfId="0" applyFont="1" applyFill="1" applyBorder="1"/>
    <xf numFmtId="0" fontId="4" fillId="11" borderId="7" xfId="0" applyFont="1" applyFill="1" applyBorder="1"/>
    <xf numFmtId="0" fontId="7" fillId="11" borderId="1" xfId="0" applyFont="1" applyFill="1" applyBorder="1"/>
    <xf numFmtId="0" fontId="7" fillId="5" borderId="3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165" fontId="7" fillId="5" borderId="1" xfId="0" applyNumberFormat="1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4" xfId="0" applyBorder="1"/>
    <xf numFmtId="0" fontId="7" fillId="2" borderId="2" xfId="0" applyFont="1" applyFill="1" applyBorder="1" applyAlignment="1">
      <alignment horizontal="center" vertical="center" wrapText="1"/>
    </xf>
    <xf numFmtId="14" fontId="7" fillId="3" borderId="2" xfId="0" applyNumberFormat="1" applyFont="1" applyFill="1" applyBorder="1" applyAlignment="1">
      <alignment horizontal="center" vertical="center" wrapText="1"/>
    </xf>
    <xf numFmtId="14" fontId="7" fillId="3" borderId="3" xfId="0" applyNumberFormat="1" applyFont="1" applyFill="1" applyBorder="1" applyAlignment="1">
      <alignment horizontal="center" vertical="center" wrapText="1"/>
    </xf>
    <xf numFmtId="14" fontId="7" fillId="3" borderId="4" xfId="0" applyNumberFormat="1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7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0" fontId="7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</cellXfs>
  <cellStyles count="3">
    <cellStyle name="Calculation" xfId="2" builtinId="22"/>
    <cellStyle name="Normal" xfId="0" builtinId="0"/>
    <cellStyle name="Percent" xfId="1" builtinId="5"/>
  </cellStyles>
  <dxfs count="84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Optimized </a:t>
            </a:r>
            <a:r>
              <a:rPr lang="en-US"/>
              <a:t>Purity</a:t>
            </a:r>
            <a:r>
              <a:rPr lang="en-US" baseline="0"/>
              <a:t> </a:t>
            </a:r>
            <a:endParaRPr 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'For Chart'!$A$9</c:f>
              <c:strCache>
                <c:ptCount val="1"/>
                <c:pt idx="0">
                  <c:v>Optimized Result</c:v>
                </c:pt>
              </c:strCache>
            </c:strRef>
          </c:tx>
          <c:spPr>
            <a:ln w="57150"/>
          </c:spPr>
          <c:marker>
            <c:symbol val="none"/>
          </c:marker>
          <c:val>
            <c:numRef>
              <c:f>'For Chart'!$B$9:$W$9</c:f>
              <c:numCache>
                <c:formatCode>General</c:formatCode>
                <c:ptCount val="22"/>
                <c:pt idx="0">
                  <c:v>92.5</c:v>
                </c:pt>
                <c:pt idx="1">
                  <c:v>92.5</c:v>
                </c:pt>
                <c:pt idx="2">
                  <c:v>92.5</c:v>
                </c:pt>
                <c:pt idx="3">
                  <c:v>92.5</c:v>
                </c:pt>
                <c:pt idx="4">
                  <c:v>92.5</c:v>
                </c:pt>
                <c:pt idx="5">
                  <c:v>92.5</c:v>
                </c:pt>
                <c:pt idx="6">
                  <c:v>92.5</c:v>
                </c:pt>
                <c:pt idx="7">
                  <c:v>92.5</c:v>
                </c:pt>
                <c:pt idx="8">
                  <c:v>92.5</c:v>
                </c:pt>
                <c:pt idx="9">
                  <c:v>92.5</c:v>
                </c:pt>
                <c:pt idx="10">
                  <c:v>92.5</c:v>
                </c:pt>
                <c:pt idx="11">
                  <c:v>92.5</c:v>
                </c:pt>
                <c:pt idx="12">
                  <c:v>92.5</c:v>
                </c:pt>
                <c:pt idx="13">
                  <c:v>92.5</c:v>
                </c:pt>
                <c:pt idx="14">
                  <c:v>92.5</c:v>
                </c:pt>
                <c:pt idx="15">
                  <c:v>92.5</c:v>
                </c:pt>
                <c:pt idx="16">
                  <c:v>92.5</c:v>
                </c:pt>
                <c:pt idx="17">
                  <c:v>92.5</c:v>
                </c:pt>
                <c:pt idx="18">
                  <c:v>92.5</c:v>
                </c:pt>
                <c:pt idx="19">
                  <c:v>92.5</c:v>
                </c:pt>
                <c:pt idx="20">
                  <c:v>92.5</c:v>
                </c:pt>
                <c:pt idx="21">
                  <c:v>92.5</c:v>
                </c:pt>
              </c:numCache>
            </c:numRef>
          </c:val>
        </c:ser>
        <c:ser>
          <c:idx val="1"/>
          <c:order val="1"/>
          <c:tx>
            <c:strRef>
              <c:f>'For Chart'!$A$10</c:f>
              <c:strCache>
                <c:ptCount val="1"/>
                <c:pt idx="0">
                  <c:v>Lower Bound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val>
            <c:numRef>
              <c:f>'For Chart'!$B$10:$W$10</c:f>
              <c:numCache>
                <c:formatCode>General</c:formatCode>
                <c:ptCount val="22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</c:numCache>
            </c:numRef>
          </c:val>
        </c:ser>
        <c:ser>
          <c:idx val="2"/>
          <c:order val="2"/>
          <c:tx>
            <c:strRef>
              <c:f>'For Chart'!$A$11</c:f>
              <c:strCache>
                <c:ptCount val="1"/>
                <c:pt idx="0">
                  <c:v>Upper Bound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val>
            <c:numRef>
              <c:f>'For Chart'!$B$11:$W$11</c:f>
              <c:numCache>
                <c:formatCode>General</c:formatCode>
                <c:ptCount val="22"/>
                <c:pt idx="0">
                  <c:v>92.5</c:v>
                </c:pt>
                <c:pt idx="1">
                  <c:v>92.5</c:v>
                </c:pt>
                <c:pt idx="2">
                  <c:v>92.5</c:v>
                </c:pt>
                <c:pt idx="3">
                  <c:v>92.5</c:v>
                </c:pt>
                <c:pt idx="4">
                  <c:v>92.5</c:v>
                </c:pt>
                <c:pt idx="5">
                  <c:v>92.5</c:v>
                </c:pt>
                <c:pt idx="6">
                  <c:v>92.5</c:v>
                </c:pt>
                <c:pt idx="7">
                  <c:v>92.5</c:v>
                </c:pt>
                <c:pt idx="8">
                  <c:v>92.5</c:v>
                </c:pt>
                <c:pt idx="9">
                  <c:v>92.5</c:v>
                </c:pt>
                <c:pt idx="10">
                  <c:v>92.5</c:v>
                </c:pt>
                <c:pt idx="11">
                  <c:v>92.5</c:v>
                </c:pt>
                <c:pt idx="12">
                  <c:v>92.5</c:v>
                </c:pt>
                <c:pt idx="13">
                  <c:v>92.5</c:v>
                </c:pt>
                <c:pt idx="14">
                  <c:v>92.5</c:v>
                </c:pt>
                <c:pt idx="15">
                  <c:v>92.5</c:v>
                </c:pt>
                <c:pt idx="16">
                  <c:v>92.5</c:v>
                </c:pt>
                <c:pt idx="17">
                  <c:v>92.5</c:v>
                </c:pt>
                <c:pt idx="18">
                  <c:v>92.5</c:v>
                </c:pt>
                <c:pt idx="19">
                  <c:v>92.5</c:v>
                </c:pt>
                <c:pt idx="20">
                  <c:v>92.5</c:v>
                </c:pt>
                <c:pt idx="21">
                  <c:v>92.5</c:v>
                </c:pt>
              </c:numCache>
            </c:numRef>
          </c:val>
        </c:ser>
        <c:ser>
          <c:idx val="3"/>
          <c:order val="3"/>
          <c:tx>
            <c:strRef>
              <c:f>'For Chart'!$A$12</c:f>
              <c:strCache>
                <c:ptCount val="1"/>
                <c:pt idx="0">
                  <c:v>Target</c:v>
                </c:pt>
              </c:strCache>
            </c:strRef>
          </c:tx>
          <c:spPr>
            <a:ln w="6350"/>
          </c:spPr>
          <c:marker>
            <c:symbol val="none"/>
          </c:marker>
          <c:val>
            <c:numRef>
              <c:f>'For Chart'!$B$12:$W$12</c:f>
              <c:numCache>
                <c:formatCode>General</c:formatCode>
                <c:ptCount val="22"/>
                <c:pt idx="0">
                  <c:v>91.5</c:v>
                </c:pt>
                <c:pt idx="1">
                  <c:v>91.5</c:v>
                </c:pt>
                <c:pt idx="2">
                  <c:v>91.5</c:v>
                </c:pt>
                <c:pt idx="3">
                  <c:v>91.5</c:v>
                </c:pt>
                <c:pt idx="4">
                  <c:v>91.5</c:v>
                </c:pt>
                <c:pt idx="5">
                  <c:v>91.5</c:v>
                </c:pt>
                <c:pt idx="6">
                  <c:v>91.5</c:v>
                </c:pt>
                <c:pt idx="7">
                  <c:v>91.5</c:v>
                </c:pt>
                <c:pt idx="8">
                  <c:v>91.5</c:v>
                </c:pt>
                <c:pt idx="9">
                  <c:v>91.5</c:v>
                </c:pt>
                <c:pt idx="10">
                  <c:v>91.5</c:v>
                </c:pt>
                <c:pt idx="11">
                  <c:v>91.5</c:v>
                </c:pt>
                <c:pt idx="12">
                  <c:v>91.5</c:v>
                </c:pt>
                <c:pt idx="13">
                  <c:v>91.5</c:v>
                </c:pt>
                <c:pt idx="14">
                  <c:v>91.5</c:v>
                </c:pt>
                <c:pt idx="15">
                  <c:v>91.5</c:v>
                </c:pt>
                <c:pt idx="16">
                  <c:v>91.5</c:v>
                </c:pt>
                <c:pt idx="17">
                  <c:v>91.5</c:v>
                </c:pt>
                <c:pt idx="18">
                  <c:v>91.5</c:v>
                </c:pt>
                <c:pt idx="19">
                  <c:v>91.5</c:v>
                </c:pt>
                <c:pt idx="20">
                  <c:v>91.5</c:v>
                </c:pt>
                <c:pt idx="21">
                  <c:v>91.5</c:v>
                </c:pt>
              </c:numCache>
            </c:numRef>
          </c:val>
        </c:ser>
        <c:marker val="1"/>
        <c:axId val="45113344"/>
        <c:axId val="45114880"/>
      </c:lineChart>
      <c:catAx>
        <c:axId val="45113344"/>
        <c:scaling>
          <c:orientation val="minMax"/>
        </c:scaling>
        <c:delete val="1"/>
        <c:axPos val="b"/>
        <c:majorTickMark val="none"/>
        <c:tickLblPos val="nextTo"/>
        <c:crossAx val="45114880"/>
        <c:crosses val="autoZero"/>
        <c:auto val="1"/>
        <c:lblAlgn val="ctr"/>
        <c:lblOffset val="100"/>
      </c:catAx>
      <c:valAx>
        <c:axId val="45114880"/>
        <c:scaling>
          <c:orientation val="minMax"/>
          <c:max val="93"/>
          <c:min val="90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Purity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45113344"/>
        <c:crosses val="autoZero"/>
        <c:crossBetween val="between"/>
        <c:majorUnit val="0.5"/>
        <c:minorUnit val="0.1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Optimized RRT91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'For Chart'!$A$15</c:f>
              <c:strCache>
                <c:ptCount val="1"/>
                <c:pt idx="0">
                  <c:v>Optimized Result</c:v>
                </c:pt>
              </c:strCache>
            </c:strRef>
          </c:tx>
          <c:spPr>
            <a:ln w="57150"/>
          </c:spPr>
          <c:marker>
            <c:symbol val="none"/>
          </c:marker>
          <c:val>
            <c:numRef>
              <c:f>'For Chart'!$B$15:$W$15</c:f>
              <c:numCache>
                <c:formatCode>General</c:formatCode>
                <c:ptCount val="22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</c:numCache>
            </c:numRef>
          </c:val>
        </c:ser>
        <c:ser>
          <c:idx val="1"/>
          <c:order val="1"/>
          <c:tx>
            <c:strRef>
              <c:f>'For Chart'!$A$16</c:f>
              <c:strCache>
                <c:ptCount val="1"/>
                <c:pt idx="0">
                  <c:v>Lower Bound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val>
            <c:numRef>
              <c:f>'For Chart'!$B$16:$W$16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'For Chart'!$A$17</c:f>
              <c:strCache>
                <c:ptCount val="1"/>
                <c:pt idx="0">
                  <c:v>Upper Bound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val>
            <c:numRef>
              <c:f>'For Chart'!$B$17:$W$17</c:f>
              <c:numCache>
                <c:formatCode>General</c:formatCode>
                <c:ptCount val="22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</c:numCache>
            </c:numRef>
          </c:val>
        </c:ser>
        <c:marker val="1"/>
        <c:axId val="51099904"/>
        <c:axId val="72780416"/>
      </c:lineChart>
      <c:catAx>
        <c:axId val="51099904"/>
        <c:scaling>
          <c:orientation val="minMax"/>
        </c:scaling>
        <c:delete val="1"/>
        <c:axPos val="b"/>
        <c:majorTickMark val="none"/>
        <c:tickLblPos val="nextTo"/>
        <c:crossAx val="72780416"/>
        <c:crosses val="autoZero"/>
        <c:auto val="1"/>
        <c:lblAlgn val="ctr"/>
        <c:lblOffset val="100"/>
      </c:catAx>
      <c:valAx>
        <c:axId val="72780416"/>
        <c:scaling>
          <c:orientation val="minMax"/>
          <c:max val="3.6"/>
          <c:min val="-0.1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%Impurity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1099904"/>
        <c:crosses val="autoZero"/>
        <c:crossBetween val="between"/>
        <c:majorUnit val="0.5"/>
        <c:minorUnit val="0.1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Optimized RRT94</a:t>
            </a:r>
            <a:endParaRPr 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'For Chart'!$A$20</c:f>
              <c:strCache>
                <c:ptCount val="1"/>
                <c:pt idx="0">
                  <c:v>Optimized Result</c:v>
                </c:pt>
              </c:strCache>
            </c:strRef>
          </c:tx>
          <c:spPr>
            <a:ln w="57150"/>
          </c:spPr>
          <c:marker>
            <c:symbol val="none"/>
          </c:marker>
          <c:val>
            <c:numRef>
              <c:f>'For Chart'!$B$20:$W$20</c:f>
              <c:numCache>
                <c:formatCode>General</c:formatCode>
                <c:ptCount val="2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</c:numCache>
            </c:numRef>
          </c:val>
        </c:ser>
        <c:ser>
          <c:idx val="1"/>
          <c:order val="1"/>
          <c:tx>
            <c:strRef>
              <c:f>'For Chart'!$A$21</c:f>
              <c:strCache>
                <c:ptCount val="1"/>
                <c:pt idx="0">
                  <c:v>Lower Bound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val>
            <c:numRef>
              <c:f>'For Chart'!$B$21:$W$21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'For Chart'!$A$22</c:f>
              <c:strCache>
                <c:ptCount val="1"/>
                <c:pt idx="0">
                  <c:v>Upper Bound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val>
            <c:numRef>
              <c:f>'For Chart'!$B$22:$W$22</c:f>
              <c:numCache>
                <c:formatCode>General</c:formatCode>
                <c:ptCount val="22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</c:numCache>
            </c:numRef>
          </c:val>
        </c:ser>
        <c:marker val="1"/>
        <c:axId val="44328832"/>
        <c:axId val="44330368"/>
      </c:lineChart>
      <c:catAx>
        <c:axId val="44328832"/>
        <c:scaling>
          <c:orientation val="minMax"/>
        </c:scaling>
        <c:delete val="1"/>
        <c:axPos val="b"/>
        <c:majorTickMark val="none"/>
        <c:tickLblPos val="nextTo"/>
        <c:crossAx val="44330368"/>
        <c:crosses val="autoZero"/>
        <c:auto val="1"/>
        <c:lblAlgn val="ctr"/>
        <c:lblOffset val="100"/>
      </c:catAx>
      <c:valAx>
        <c:axId val="44330368"/>
        <c:scaling>
          <c:orientation val="minMax"/>
          <c:max val="3.6"/>
          <c:min val="-0.1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%Impurity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44328832"/>
        <c:crosses val="autoZero"/>
        <c:crossBetween val="between"/>
        <c:majorUnit val="0.5"/>
        <c:minorUnit val="0.1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Optimized RRT97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'For Chart'!$A$25</c:f>
              <c:strCache>
                <c:ptCount val="1"/>
                <c:pt idx="0">
                  <c:v>Optimized Result</c:v>
                </c:pt>
              </c:strCache>
            </c:strRef>
          </c:tx>
          <c:spPr>
            <a:ln w="57150"/>
          </c:spPr>
          <c:marker>
            <c:symbol val="none"/>
          </c:marker>
          <c:val>
            <c:numRef>
              <c:f>'For Chart'!$B$25:$W$25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</c:ser>
        <c:ser>
          <c:idx val="1"/>
          <c:order val="1"/>
          <c:tx>
            <c:strRef>
              <c:f>'For Chart'!$A$26</c:f>
              <c:strCache>
                <c:ptCount val="1"/>
                <c:pt idx="0">
                  <c:v>Lower Bound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val>
            <c:numRef>
              <c:f>'For Chart'!$B$26:$W$26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'For Chart'!$A$27</c:f>
              <c:strCache>
                <c:ptCount val="1"/>
                <c:pt idx="0">
                  <c:v>Upper Bound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val>
            <c:numRef>
              <c:f>'For Chart'!$B$27:$W$27</c:f>
              <c:numCache>
                <c:formatCode>General</c:formatCode>
                <c:ptCount val="2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</c:numCache>
            </c:numRef>
          </c:val>
        </c:ser>
        <c:marker val="1"/>
        <c:axId val="44504192"/>
        <c:axId val="44505728"/>
      </c:lineChart>
      <c:catAx>
        <c:axId val="44504192"/>
        <c:scaling>
          <c:orientation val="minMax"/>
        </c:scaling>
        <c:delete val="1"/>
        <c:axPos val="b"/>
        <c:majorTickMark val="none"/>
        <c:tickLblPos val="nextTo"/>
        <c:crossAx val="44505728"/>
        <c:crosses val="autoZero"/>
        <c:auto val="1"/>
        <c:lblAlgn val="ctr"/>
        <c:lblOffset val="100"/>
      </c:catAx>
      <c:valAx>
        <c:axId val="44505728"/>
        <c:scaling>
          <c:orientation val="minMax"/>
          <c:max val="3.6"/>
          <c:min val="-0.1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%Impurity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44504192"/>
        <c:crosses val="autoZero"/>
        <c:crossBetween val="between"/>
        <c:majorUnit val="0.5"/>
        <c:minorUnit val="0.1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Optimized RRT1.1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'For Chart'!$A$30</c:f>
              <c:strCache>
                <c:ptCount val="1"/>
                <c:pt idx="0">
                  <c:v>Optimized Result</c:v>
                </c:pt>
              </c:strCache>
            </c:strRef>
          </c:tx>
          <c:spPr>
            <a:ln w="57150"/>
          </c:spPr>
          <c:marker>
            <c:symbol val="none"/>
          </c:marker>
          <c:val>
            <c:numRef>
              <c:f>'For Chart'!$B$30:$W$30</c:f>
              <c:numCache>
                <c:formatCode>General</c:formatCode>
                <c:ptCount val="22"/>
                <c:pt idx="0">
                  <c:v>2.2999999999999998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2.2999999999999998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2.2999999999999998</c:v>
                </c:pt>
                <c:pt idx="16">
                  <c:v>2.2999999999999998</c:v>
                </c:pt>
                <c:pt idx="17">
                  <c:v>2.2999999999999998</c:v>
                </c:pt>
                <c:pt idx="18">
                  <c:v>2.2999999999999998</c:v>
                </c:pt>
                <c:pt idx="19">
                  <c:v>2.2999999999999998</c:v>
                </c:pt>
                <c:pt idx="20">
                  <c:v>2.2999999999999998</c:v>
                </c:pt>
                <c:pt idx="21">
                  <c:v>2.2999999999999998</c:v>
                </c:pt>
              </c:numCache>
            </c:numRef>
          </c:val>
        </c:ser>
        <c:ser>
          <c:idx val="1"/>
          <c:order val="1"/>
          <c:tx>
            <c:strRef>
              <c:f>'For Chart'!$A$31</c:f>
              <c:strCache>
                <c:ptCount val="1"/>
                <c:pt idx="0">
                  <c:v>Lower Bound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val>
            <c:numRef>
              <c:f>'For Chart'!$B$31:$W$31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'For Chart'!$A$32</c:f>
              <c:strCache>
                <c:ptCount val="1"/>
                <c:pt idx="0">
                  <c:v>Upper Bound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val>
            <c:numRef>
              <c:f>'For Chart'!$B$32:$W$32</c:f>
              <c:numCache>
                <c:formatCode>General</c:formatCode>
                <c:ptCount val="22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</c:numCache>
            </c:numRef>
          </c:val>
        </c:ser>
        <c:marker val="1"/>
        <c:axId val="44515712"/>
        <c:axId val="44517248"/>
      </c:lineChart>
      <c:catAx>
        <c:axId val="44515712"/>
        <c:scaling>
          <c:orientation val="minMax"/>
        </c:scaling>
        <c:delete val="1"/>
        <c:axPos val="b"/>
        <c:majorTickMark val="none"/>
        <c:tickLblPos val="nextTo"/>
        <c:crossAx val="44517248"/>
        <c:crosses val="autoZero"/>
        <c:auto val="1"/>
        <c:lblAlgn val="ctr"/>
        <c:lblOffset val="100"/>
      </c:catAx>
      <c:valAx>
        <c:axId val="44517248"/>
        <c:scaling>
          <c:orientation val="minMax"/>
          <c:max val="3.6"/>
          <c:min val="-0.1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%Impurity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44515712"/>
        <c:crosses val="autoZero"/>
        <c:crossBetween val="between"/>
        <c:majorUnit val="0.5"/>
        <c:minorUnit val="0.1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Weight of Protein Yield (g)</a:t>
            </a:r>
            <a:endParaRPr 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'For Chart'!$A$35</c:f>
              <c:strCache>
                <c:ptCount val="1"/>
                <c:pt idx="0">
                  <c:v>Optimized Result</c:v>
                </c:pt>
              </c:strCache>
            </c:strRef>
          </c:tx>
          <c:spPr>
            <a:ln w="57150"/>
          </c:spPr>
          <c:marker>
            <c:symbol val="none"/>
          </c:marker>
          <c:val>
            <c:numRef>
              <c:f>'For Chart'!$B$35:$W$35</c:f>
              <c:numCache>
                <c:formatCode>0.0</c:formatCode>
                <c:ptCount val="22"/>
                <c:pt idx="0">
                  <c:v>26.880653395272521</c:v>
                </c:pt>
                <c:pt idx="1">
                  <c:v>26.880653395272521</c:v>
                </c:pt>
                <c:pt idx="2">
                  <c:v>26.880653395272521</c:v>
                </c:pt>
                <c:pt idx="3">
                  <c:v>26.880653395272521</c:v>
                </c:pt>
                <c:pt idx="4">
                  <c:v>26.880653395272521</c:v>
                </c:pt>
                <c:pt idx="5">
                  <c:v>26.880653395272521</c:v>
                </c:pt>
                <c:pt idx="6">
                  <c:v>26.880653395272521</c:v>
                </c:pt>
                <c:pt idx="7">
                  <c:v>26.880653395272521</c:v>
                </c:pt>
                <c:pt idx="8">
                  <c:v>26.880653395272521</c:v>
                </c:pt>
                <c:pt idx="9">
                  <c:v>26.880653395272521</c:v>
                </c:pt>
                <c:pt idx="10">
                  <c:v>26.880653395272521</c:v>
                </c:pt>
                <c:pt idx="11">
                  <c:v>26.880653395272521</c:v>
                </c:pt>
                <c:pt idx="12">
                  <c:v>26.880653395272521</c:v>
                </c:pt>
                <c:pt idx="13">
                  <c:v>26.880653395272521</c:v>
                </c:pt>
                <c:pt idx="14">
                  <c:v>26.880653395272521</c:v>
                </c:pt>
                <c:pt idx="15">
                  <c:v>26.880653395272521</c:v>
                </c:pt>
                <c:pt idx="16">
                  <c:v>26.880653395272521</c:v>
                </c:pt>
                <c:pt idx="17">
                  <c:v>26.880653395272521</c:v>
                </c:pt>
                <c:pt idx="18">
                  <c:v>26.880653395272521</c:v>
                </c:pt>
                <c:pt idx="19">
                  <c:v>26.880653395272521</c:v>
                </c:pt>
                <c:pt idx="20">
                  <c:v>26.880653395272521</c:v>
                </c:pt>
                <c:pt idx="21">
                  <c:v>26.880653395272521</c:v>
                </c:pt>
              </c:numCache>
            </c:numRef>
          </c:val>
        </c:ser>
        <c:ser>
          <c:idx val="1"/>
          <c:order val="1"/>
          <c:tx>
            <c:strRef>
              <c:f>'For Chart'!$A$36</c:f>
              <c:strCache>
                <c:ptCount val="1"/>
                <c:pt idx="0">
                  <c:v>Lower Bound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val>
            <c:numRef>
              <c:f>'For Chart'!$B$36:$W$36</c:f>
              <c:numCache>
                <c:formatCode>General</c:formatCode>
                <c:ptCount val="22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27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</c:numCache>
            </c:numRef>
          </c:val>
        </c:ser>
        <c:marker val="1"/>
        <c:axId val="44538112"/>
        <c:axId val="44539904"/>
      </c:lineChart>
      <c:catAx>
        <c:axId val="44538112"/>
        <c:scaling>
          <c:orientation val="minMax"/>
        </c:scaling>
        <c:delete val="1"/>
        <c:axPos val="b"/>
        <c:majorTickMark val="none"/>
        <c:tickLblPos val="nextTo"/>
        <c:crossAx val="44539904"/>
        <c:crosses val="autoZero"/>
        <c:auto val="1"/>
        <c:lblAlgn val="ctr"/>
        <c:lblOffset val="100"/>
      </c:catAx>
      <c:valAx>
        <c:axId val="44539904"/>
        <c:scaling>
          <c:orientation val="minMax"/>
          <c:max val="50"/>
          <c:min val="5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Purity</a:t>
                </a:r>
              </a:p>
            </c:rich>
          </c:tx>
          <c:layout/>
        </c:title>
        <c:numFmt formatCode="0.0" sourceLinked="1"/>
        <c:majorTickMark val="none"/>
        <c:tickLblPos val="nextTo"/>
        <c:crossAx val="4453811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80754</xdr:colOff>
      <xdr:row>111</xdr:row>
      <xdr:rowOff>26504</xdr:rowOff>
    </xdr:from>
    <xdr:to>
      <xdr:col>11</xdr:col>
      <xdr:colOff>6721</xdr:colOff>
      <xdr:row>113</xdr:row>
      <xdr:rowOff>139001</xdr:rowOff>
    </xdr:to>
    <xdr:sp macro="[0]!RunMaxPython" textlink="">
      <xdr:nvSpPr>
        <xdr:cNvPr id="2" name="btnRun"/>
        <xdr:cNvSpPr/>
      </xdr:nvSpPr>
      <xdr:spPr>
        <a:xfrm>
          <a:off x="6524624" y="22141069"/>
          <a:ext cx="2120858" cy="41067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wrap="square" anchor="ctr"/>
        <a:lstStyle/>
        <a:p>
          <a:pPr algn="ctr"/>
          <a:r>
            <a:rPr lang="en-US" sz="1200" b="1"/>
            <a:t>Yield Optimization</a:t>
          </a:r>
        </a:p>
      </xdr:txBody>
    </xdr:sp>
    <xdr:clientData/>
  </xdr:twoCellAnchor>
  <xdr:twoCellAnchor>
    <xdr:from>
      <xdr:col>0</xdr:col>
      <xdr:colOff>1</xdr:colOff>
      <xdr:row>116</xdr:row>
      <xdr:rowOff>0</xdr:rowOff>
    </xdr:from>
    <xdr:to>
      <xdr:col>6</xdr:col>
      <xdr:colOff>123825</xdr:colOff>
      <xdr:row>136</xdr:row>
      <xdr:rowOff>95250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164</xdr:row>
      <xdr:rowOff>9525</xdr:rowOff>
    </xdr:from>
    <xdr:to>
      <xdr:col>14</xdr:col>
      <xdr:colOff>19049</xdr:colOff>
      <xdr:row>184</xdr:row>
      <xdr:rowOff>104775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140</xdr:row>
      <xdr:rowOff>0</xdr:rowOff>
    </xdr:from>
    <xdr:to>
      <xdr:col>6</xdr:col>
      <xdr:colOff>123824</xdr:colOff>
      <xdr:row>160</xdr:row>
      <xdr:rowOff>95250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140</xdr:row>
      <xdr:rowOff>0</xdr:rowOff>
    </xdr:from>
    <xdr:to>
      <xdr:col>14</xdr:col>
      <xdr:colOff>9524</xdr:colOff>
      <xdr:row>160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6</xdr:col>
      <xdr:colOff>123824</xdr:colOff>
      <xdr:row>184</xdr:row>
      <xdr:rowOff>95250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723900</xdr:colOff>
      <xdr:row>115</xdr:row>
      <xdr:rowOff>123825</xdr:rowOff>
    </xdr:from>
    <xdr:to>
      <xdr:col>13</xdr:col>
      <xdr:colOff>714374</xdr:colOff>
      <xdr:row>136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EV114"/>
  <sheetViews>
    <sheetView tabSelected="1" topLeftCell="A98" zoomScale="115" zoomScaleNormal="115" workbookViewId="0">
      <selection activeCell="L111" sqref="L111"/>
    </sheetView>
  </sheetViews>
  <sheetFormatPr defaultRowHeight="12"/>
  <cols>
    <col min="1" max="1" width="10.85546875" style="2" customWidth="1"/>
    <col min="2" max="2" width="18.5703125" style="2" customWidth="1"/>
    <col min="3" max="3" width="11.85546875" style="2" customWidth="1"/>
    <col min="4" max="4" width="11.28515625" style="2" customWidth="1"/>
    <col min="5" max="5" width="10.7109375" style="2" customWidth="1"/>
    <col min="6" max="6" width="11.28515625" style="2" customWidth="1"/>
    <col min="7" max="7" width="11.42578125" style="2" customWidth="1"/>
    <col min="8" max="8" width="10.7109375" style="2" customWidth="1"/>
    <col min="9" max="9" width="11" style="2" customWidth="1"/>
    <col min="10" max="10" width="10.5703125" style="2" customWidth="1"/>
    <col min="11" max="11" width="11.28515625" style="2" customWidth="1"/>
    <col min="12" max="12" width="10.42578125" style="2" customWidth="1"/>
    <col min="13" max="13" width="11.140625" style="2" customWidth="1"/>
    <col min="14" max="14" width="11.140625" style="5" customWidth="1"/>
    <col min="15" max="15" width="15.7109375" style="79" customWidth="1"/>
    <col min="16" max="16" width="11" style="2" customWidth="1"/>
    <col min="17" max="16384" width="9.140625" style="2"/>
  </cols>
  <sheetData>
    <row r="1" spans="1:18" ht="15">
      <c r="A1" s="188" t="s">
        <v>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90"/>
      <c r="M1" s="190"/>
      <c r="N1" s="1"/>
    </row>
    <row r="2" spans="1:18">
      <c r="A2" s="3"/>
      <c r="B2" s="4"/>
      <c r="C2" s="4"/>
      <c r="D2" s="4"/>
      <c r="E2" s="4"/>
      <c r="F2" s="4"/>
      <c r="G2" s="4"/>
    </row>
    <row r="3" spans="1:18" s="7" customFormat="1">
      <c r="A3" s="6" t="s">
        <v>1</v>
      </c>
      <c r="J3" s="8"/>
      <c r="K3" s="8"/>
      <c r="L3" s="8"/>
      <c r="N3" s="9"/>
      <c r="O3" s="80"/>
    </row>
    <row r="4" spans="1:18">
      <c r="A4" s="170" t="s">
        <v>2</v>
      </c>
      <c r="B4" s="180" t="s">
        <v>3</v>
      </c>
      <c r="C4" s="181"/>
      <c r="D4" s="182"/>
      <c r="E4" s="180" t="s">
        <v>4</v>
      </c>
      <c r="F4" s="181"/>
      <c r="G4" s="182"/>
      <c r="H4" s="180" t="s">
        <v>5</v>
      </c>
      <c r="I4" s="181"/>
      <c r="J4" s="182"/>
      <c r="K4" s="180" t="s">
        <v>6</v>
      </c>
      <c r="L4" s="181"/>
      <c r="M4" s="182"/>
      <c r="N4" s="180" t="s">
        <v>7</v>
      </c>
      <c r="O4" s="181"/>
      <c r="P4" s="182"/>
      <c r="Q4" s="10"/>
      <c r="R4" s="11"/>
    </row>
    <row r="5" spans="1:18" ht="24">
      <c r="A5" s="170"/>
      <c r="B5" s="12" t="s">
        <v>8</v>
      </c>
      <c r="C5" s="12" t="s">
        <v>9</v>
      </c>
      <c r="D5" s="13" t="s">
        <v>10</v>
      </c>
      <c r="E5" s="12" t="s">
        <v>8</v>
      </c>
      <c r="F5" s="12" t="s">
        <v>9</v>
      </c>
      <c r="G5" s="13" t="s">
        <v>10</v>
      </c>
      <c r="H5" s="12" t="s">
        <v>8</v>
      </c>
      <c r="I5" s="12" t="s">
        <v>9</v>
      </c>
      <c r="J5" s="13" t="s">
        <v>10</v>
      </c>
      <c r="K5" s="12" t="s">
        <v>8</v>
      </c>
      <c r="L5" s="12" t="s">
        <v>9</v>
      </c>
      <c r="M5" s="13" t="s">
        <v>10</v>
      </c>
      <c r="N5" s="84" t="s">
        <v>8</v>
      </c>
      <c r="O5" s="84" t="s">
        <v>9</v>
      </c>
      <c r="P5" s="85" t="s">
        <v>10</v>
      </c>
    </row>
    <row r="6" spans="1:18">
      <c r="A6" s="184">
        <v>0.71299999999999997</v>
      </c>
      <c r="B6" s="14">
        <v>32.341000000000001</v>
      </c>
      <c r="C6" s="15">
        <v>96.760400000000004</v>
      </c>
      <c r="D6" s="16">
        <v>2398.3012699999999</v>
      </c>
      <c r="E6" s="14">
        <v>35.798000000000002</v>
      </c>
      <c r="F6" s="15">
        <v>96.965000000000003</v>
      </c>
      <c r="G6" s="16">
        <v>2413.0935100000002</v>
      </c>
      <c r="H6" s="14">
        <v>36.341999999999999</v>
      </c>
      <c r="I6" s="15">
        <v>96.573999999999998</v>
      </c>
      <c r="J6" s="16">
        <v>2356.8237300000001</v>
      </c>
      <c r="K6" s="14">
        <v>30.027999999999999</v>
      </c>
      <c r="L6" s="15">
        <v>98.257000000000005</v>
      </c>
      <c r="M6" s="16">
        <v>2345.6884799999998</v>
      </c>
      <c r="N6" s="14">
        <v>29.774999999999999</v>
      </c>
      <c r="O6" s="15">
        <v>96.312200000000004</v>
      </c>
      <c r="P6" s="91">
        <v>2345.6884799999998</v>
      </c>
    </row>
    <row r="7" spans="1:18">
      <c r="A7" s="185"/>
      <c r="B7" s="14">
        <v>32.377000000000002</v>
      </c>
      <c r="C7" s="15">
        <v>96.891499999999994</v>
      </c>
      <c r="D7" s="17">
        <v>2402.9226100000001</v>
      </c>
      <c r="E7" s="14">
        <v>35.845999999999997</v>
      </c>
      <c r="F7" s="15">
        <v>96.821200000000005</v>
      </c>
      <c r="G7" s="16">
        <v>2415.2392599999998</v>
      </c>
      <c r="H7" s="14">
        <v>36.256999999999998</v>
      </c>
      <c r="I7" s="15">
        <v>96.648300000000006</v>
      </c>
      <c r="J7" s="17">
        <v>2371.0893599999999</v>
      </c>
      <c r="K7" s="14">
        <v>30.448</v>
      </c>
      <c r="L7" s="15">
        <v>97.685000000000002</v>
      </c>
      <c r="M7" s="16">
        <v>2377.4623999999999</v>
      </c>
      <c r="N7" s="14">
        <v>29.696000000000002</v>
      </c>
      <c r="O7" s="15">
        <v>96.083799999999997</v>
      </c>
      <c r="P7" s="91">
        <v>2377.4623999999999</v>
      </c>
    </row>
    <row r="8" spans="1:18">
      <c r="A8" s="185"/>
      <c r="B8" s="14">
        <v>32.405999999999999</v>
      </c>
      <c r="C8" s="15">
        <v>96.838999999999999</v>
      </c>
      <c r="D8" s="17">
        <v>2405.8845200000001</v>
      </c>
      <c r="E8" s="14">
        <v>35.877000000000002</v>
      </c>
      <c r="F8" s="15">
        <v>97.099000000000004</v>
      </c>
      <c r="G8" s="16">
        <v>2411.35034</v>
      </c>
      <c r="H8" s="14">
        <v>36.25</v>
      </c>
      <c r="I8" s="15">
        <v>96.575599999999994</v>
      </c>
      <c r="J8" s="17">
        <v>2373.2478000000001</v>
      </c>
      <c r="K8" s="14">
        <v>30.504999999999999</v>
      </c>
      <c r="L8" s="15">
        <v>97.996499999999997</v>
      </c>
      <c r="M8" s="16">
        <v>2405.5815400000001</v>
      </c>
      <c r="N8" s="14">
        <v>29.72</v>
      </c>
      <c r="O8" s="15">
        <v>96.511300000000006</v>
      </c>
      <c r="P8" s="91">
        <v>2405.5815400000001</v>
      </c>
    </row>
    <row r="9" spans="1:18" ht="15">
      <c r="A9" s="185"/>
      <c r="B9" s="186" t="s">
        <v>11</v>
      </c>
      <c r="C9" s="185"/>
      <c r="D9" s="18">
        <f>AVERAGE(D6:D8)</f>
        <v>2402.3694666666665</v>
      </c>
      <c r="E9" s="183" t="s">
        <v>11</v>
      </c>
      <c r="F9" s="183"/>
      <c r="G9" s="18">
        <f>AVERAGE(G6:G8)</f>
        <v>2413.2277033333335</v>
      </c>
      <c r="H9" s="186" t="s">
        <v>11</v>
      </c>
      <c r="I9" s="185"/>
      <c r="J9" s="18">
        <f>AVERAGE(J6:J8)</f>
        <v>2367.0536299999999</v>
      </c>
      <c r="K9" s="183" t="s">
        <v>11</v>
      </c>
      <c r="L9" s="183"/>
      <c r="M9" s="18">
        <f>AVERAGE(M6:M8)</f>
        <v>2376.2441399999998</v>
      </c>
      <c r="N9" s="183" t="s">
        <v>11</v>
      </c>
      <c r="O9" s="183"/>
      <c r="P9" s="86">
        <f>AVERAGE(P6:P8)</f>
        <v>2376.2441399999998</v>
      </c>
    </row>
    <row r="10" spans="1:18" ht="15">
      <c r="A10" s="19"/>
      <c r="B10" s="20"/>
      <c r="C10" s="20"/>
      <c r="D10" s="20"/>
      <c r="E10" s="10"/>
      <c r="F10" s="21"/>
      <c r="G10" s="21"/>
      <c r="H10" s="20"/>
      <c r="I10" s="20"/>
      <c r="J10" s="20"/>
      <c r="K10" s="10"/>
      <c r="L10" s="21"/>
      <c r="M10" s="21"/>
      <c r="N10" s="22"/>
      <c r="O10" s="21"/>
      <c r="P10" s="21"/>
      <c r="Q10" s="21"/>
    </row>
    <row r="11" spans="1:18">
      <c r="A11" s="23"/>
      <c r="B11" s="23"/>
      <c r="C11" s="23"/>
      <c r="D11" s="23"/>
      <c r="E11" s="23"/>
      <c r="F11" s="24"/>
      <c r="G11" s="24"/>
      <c r="H11" s="23"/>
      <c r="I11" s="23"/>
      <c r="J11" s="23"/>
      <c r="K11" s="23"/>
      <c r="L11" s="24"/>
      <c r="M11" s="24"/>
      <c r="N11" s="25"/>
      <c r="O11" s="81"/>
      <c r="P11" s="10"/>
      <c r="Q11" s="10"/>
      <c r="R11" s="11"/>
    </row>
    <row r="12" spans="1:18" s="7" customFormat="1">
      <c r="A12" s="6" t="s">
        <v>12</v>
      </c>
      <c r="E12" s="8"/>
      <c r="K12" s="8"/>
      <c r="N12" s="9"/>
      <c r="O12" s="80"/>
    </row>
    <row r="13" spans="1:18">
      <c r="A13" s="170" t="s">
        <v>2</v>
      </c>
      <c r="B13" s="180" t="s">
        <v>3</v>
      </c>
      <c r="C13" s="181"/>
      <c r="D13" s="182"/>
      <c r="E13" s="180" t="s">
        <v>4</v>
      </c>
      <c r="F13" s="181"/>
      <c r="G13" s="182"/>
      <c r="H13" s="180" t="s">
        <v>5</v>
      </c>
      <c r="I13" s="181"/>
      <c r="J13" s="182"/>
      <c r="K13" s="180" t="s">
        <v>6</v>
      </c>
      <c r="L13" s="181"/>
      <c r="M13" s="182"/>
      <c r="N13" s="180" t="s">
        <v>7</v>
      </c>
      <c r="O13" s="181"/>
      <c r="P13" s="182"/>
    </row>
    <row r="14" spans="1:18">
      <c r="A14" s="187"/>
      <c r="B14" s="12" t="s">
        <v>10</v>
      </c>
      <c r="C14" s="26" t="s">
        <v>13</v>
      </c>
      <c r="D14" s="12" t="s">
        <v>14</v>
      </c>
      <c r="E14" s="12" t="s">
        <v>10</v>
      </c>
      <c r="F14" s="26" t="s">
        <v>13</v>
      </c>
      <c r="G14" s="12" t="s">
        <v>14</v>
      </c>
      <c r="H14" s="12" t="s">
        <v>10</v>
      </c>
      <c r="I14" s="26" t="s">
        <v>13</v>
      </c>
      <c r="J14" s="12" t="s">
        <v>14</v>
      </c>
      <c r="K14" s="12" t="s">
        <v>10</v>
      </c>
      <c r="L14" s="26" t="s">
        <v>13</v>
      </c>
      <c r="M14" s="12" t="s">
        <v>14</v>
      </c>
      <c r="N14" s="84" t="s">
        <v>10</v>
      </c>
      <c r="O14" s="87" t="s">
        <v>13</v>
      </c>
      <c r="P14" s="84" t="s">
        <v>14</v>
      </c>
    </row>
    <row r="15" spans="1:18">
      <c r="A15" s="174">
        <f>A6</f>
        <v>0.71299999999999997</v>
      </c>
      <c r="B15" s="14">
        <v>2410.8688999999999</v>
      </c>
      <c r="C15" s="27">
        <f>(B15/$D$9)*100</f>
        <v>100.35379376283559</v>
      </c>
      <c r="D15" s="28" t="str">
        <f t="shared" ref="D15:D16" si="0">IF(B15=0, "N/A", IF(AND(C15&lt;101.5, C15&gt;=98.5), "Pass", "Fail"))</f>
        <v>Pass</v>
      </c>
      <c r="E15" s="90">
        <v>2410.8688999999999</v>
      </c>
      <c r="F15" s="88">
        <f>(E15/$D$9)*100</f>
        <v>100.35379376283559</v>
      </c>
      <c r="G15" s="89" t="str">
        <f t="shared" ref="G15:G16" si="1">IF(E15=0, "N/A", IF(AND(F15&lt;101.5, F15&gt;=98.5), "Pass", "Fail"))</f>
        <v>Pass</v>
      </c>
      <c r="H15" s="14">
        <v>2375.7858900000001</v>
      </c>
      <c r="I15" s="27">
        <f>(H15/$J$9)*100</f>
        <v>100.36890841379036</v>
      </c>
      <c r="J15" s="28" t="str">
        <f t="shared" ref="J15:J16" si="2">IF(H15=0, "N/A", IF(AND(I15&lt;101.5, I15&gt;=98.5), "Pass", "Fail"))</f>
        <v>Pass</v>
      </c>
      <c r="K15" s="14">
        <v>2349.56763</v>
      </c>
      <c r="L15" s="27">
        <f>(K15/$M$9)*100</f>
        <v>98.8773666160414</v>
      </c>
      <c r="M15" s="28" t="str">
        <f t="shared" ref="M15:M16" si="3">IF(K15=0, "N/A", IF(AND(L15&lt;101.5, L15&gt;=98.5), "Pass", "Fail"))</f>
        <v>Pass</v>
      </c>
      <c r="N15" s="90">
        <v>2349.56763</v>
      </c>
      <c r="O15" s="88">
        <f>(N15/$M$9)*100</f>
        <v>98.8773666160414</v>
      </c>
      <c r="P15" s="89" t="str">
        <f t="shared" ref="P15:P16" si="4">IF(N15=0, "N/A", IF(AND(O15&lt;101.5, O15&gt;=98.5), "Pass", "Fail"))</f>
        <v>Pass</v>
      </c>
    </row>
    <row r="16" spans="1:18">
      <c r="A16" s="175"/>
      <c r="B16" s="14">
        <v>2412.9799800000001</v>
      </c>
      <c r="C16" s="27">
        <f>(B16/$D$9)*100</f>
        <v>100.44166867255669</v>
      </c>
      <c r="D16" s="28" t="str">
        <f t="shared" si="0"/>
        <v>Pass</v>
      </c>
      <c r="E16" s="90">
        <v>2412.9799800000001</v>
      </c>
      <c r="F16" s="88">
        <f>(E16/$D$9)*100</f>
        <v>100.44166867255669</v>
      </c>
      <c r="G16" s="89" t="str">
        <f t="shared" si="1"/>
        <v>Pass</v>
      </c>
      <c r="H16" s="14">
        <v>2383.5336900000002</v>
      </c>
      <c r="I16" s="27">
        <f>(H16/$J$9)*100</f>
        <v>100.69622672638812</v>
      </c>
      <c r="J16" s="28" t="str">
        <f t="shared" si="2"/>
        <v>Pass</v>
      </c>
      <c r="K16" s="14">
        <v>2354.5849600000001</v>
      </c>
      <c r="L16" s="27">
        <f>(K16/$M$9)*100</f>
        <v>99.088512007861297</v>
      </c>
      <c r="M16" s="28" t="str">
        <f t="shared" si="3"/>
        <v>Pass</v>
      </c>
      <c r="N16" s="90">
        <v>2354.5849600000001</v>
      </c>
      <c r="O16" s="88">
        <f>(N16/$M$9)*100</f>
        <v>99.088512007861297</v>
      </c>
      <c r="P16" s="89" t="str">
        <f t="shared" si="4"/>
        <v>Pass</v>
      </c>
    </row>
    <row r="17" spans="1:16">
      <c r="A17" s="175"/>
      <c r="B17" s="14"/>
      <c r="C17" s="27"/>
      <c r="D17" s="28"/>
      <c r="E17" s="14"/>
      <c r="F17" s="27"/>
      <c r="G17" s="28"/>
      <c r="H17" s="14"/>
      <c r="I17" s="27"/>
      <c r="J17" s="28"/>
      <c r="K17" s="14"/>
      <c r="L17" s="27"/>
      <c r="M17" s="28"/>
      <c r="N17" s="14"/>
      <c r="O17" s="27"/>
      <c r="P17" s="28"/>
    </row>
    <row r="18" spans="1:16">
      <c r="A18" s="176"/>
      <c r="B18" s="14"/>
      <c r="C18" s="27"/>
      <c r="D18" s="28"/>
      <c r="E18" s="14"/>
      <c r="F18" s="27"/>
      <c r="G18" s="28"/>
      <c r="H18" s="14"/>
      <c r="I18" s="27"/>
      <c r="J18" s="28"/>
      <c r="K18" s="14"/>
      <c r="L18" s="27"/>
      <c r="M18" s="28"/>
      <c r="N18" s="14"/>
      <c r="O18" s="27"/>
      <c r="P18" s="28"/>
    </row>
    <row r="19" spans="1:16">
      <c r="A19" s="23"/>
      <c r="B19" s="23"/>
      <c r="C19" s="23"/>
      <c r="D19" s="23"/>
      <c r="E19" s="23"/>
      <c r="F19" s="24"/>
      <c r="G19" s="24"/>
    </row>
    <row r="20" spans="1:16">
      <c r="A20" s="23"/>
      <c r="B20" s="23"/>
      <c r="C20" s="23"/>
      <c r="D20" s="23"/>
      <c r="E20" s="23"/>
      <c r="F20" s="24"/>
      <c r="G20" s="24"/>
    </row>
    <row r="21" spans="1:16" ht="15">
      <c r="A21" s="29" t="s">
        <v>15</v>
      </c>
      <c r="C21" s="30"/>
      <c r="D21" s="10"/>
      <c r="E21" s="23"/>
      <c r="F21" s="24"/>
      <c r="G21" s="24"/>
    </row>
    <row r="22" spans="1:16" ht="24">
      <c r="A22" s="177"/>
      <c r="B22" s="178"/>
      <c r="C22" s="12" t="s">
        <v>16</v>
      </c>
      <c r="D22" s="12" t="s">
        <v>17</v>
      </c>
      <c r="E22" s="23"/>
      <c r="F22" s="24"/>
      <c r="G22" s="24"/>
    </row>
    <row r="23" spans="1:16" ht="15">
      <c r="A23" s="179" t="s">
        <v>18</v>
      </c>
      <c r="B23" s="178"/>
      <c r="C23" s="95">
        <v>36.659999999999997</v>
      </c>
      <c r="D23" s="31">
        <f>C23/6</f>
        <v>6.1099999999999994</v>
      </c>
      <c r="E23" s="23"/>
      <c r="F23" s="24"/>
      <c r="G23" s="24"/>
    </row>
    <row r="24" spans="1:16">
      <c r="A24" s="23"/>
      <c r="B24" s="23"/>
      <c r="C24" s="23"/>
      <c r="D24" s="23"/>
      <c r="E24" s="23"/>
      <c r="F24" s="23" t="s">
        <v>19</v>
      </c>
      <c r="G24" s="23"/>
    </row>
    <row r="25" spans="1:16" s="7" customFormat="1">
      <c r="A25" s="6" t="s">
        <v>20</v>
      </c>
      <c r="N25" s="9"/>
      <c r="O25" s="80"/>
    </row>
    <row r="26" spans="1:16">
      <c r="A26" s="32" t="s">
        <v>21</v>
      </c>
      <c r="B26" s="2" t="s">
        <v>22</v>
      </c>
    </row>
    <row r="27" spans="1:16">
      <c r="A27" s="98" t="s">
        <v>79</v>
      </c>
    </row>
    <row r="28" spans="1:16">
      <c r="A28" s="70"/>
      <c r="B28" s="93" t="s">
        <v>60</v>
      </c>
      <c r="C28" s="93" t="s">
        <v>54</v>
      </c>
      <c r="D28" s="93" t="s">
        <v>55</v>
      </c>
      <c r="E28" s="93" t="s">
        <v>56</v>
      </c>
      <c r="F28" s="93" t="s">
        <v>57</v>
      </c>
    </row>
    <row r="29" spans="1:16">
      <c r="A29" s="70" t="s">
        <v>58</v>
      </c>
      <c r="B29" s="93">
        <v>91</v>
      </c>
      <c r="C29" s="93">
        <v>0</v>
      </c>
      <c r="D29" s="93">
        <v>0</v>
      </c>
      <c r="E29" s="93">
        <v>0</v>
      </c>
      <c r="F29" s="93">
        <v>0</v>
      </c>
    </row>
    <row r="30" spans="1:16">
      <c r="A30" s="70" t="s">
        <v>59</v>
      </c>
      <c r="B30" s="93">
        <v>92.5</v>
      </c>
      <c r="C30" s="93">
        <v>2.2000000000000002</v>
      </c>
      <c r="D30" s="93">
        <v>2.2000000000000002</v>
      </c>
      <c r="E30" s="93">
        <v>3.5</v>
      </c>
      <c r="F30" s="93">
        <v>2.2000000000000002</v>
      </c>
    </row>
    <row r="32" spans="1:16" ht="36">
      <c r="A32" s="33" t="s">
        <v>23</v>
      </c>
      <c r="B32" s="33" t="s">
        <v>24</v>
      </c>
      <c r="C32" s="34" t="s">
        <v>25</v>
      </c>
      <c r="D32" s="12" t="s">
        <v>26</v>
      </c>
      <c r="E32" s="12" t="s">
        <v>10</v>
      </c>
      <c r="F32" s="12" t="s">
        <v>27</v>
      </c>
      <c r="G32" s="12" t="s">
        <v>28</v>
      </c>
      <c r="H32" s="12" t="s">
        <v>29</v>
      </c>
      <c r="I32" s="12" t="s">
        <v>30</v>
      </c>
      <c r="J32" s="12" t="s">
        <v>31</v>
      </c>
      <c r="K32" s="12" t="s">
        <v>32</v>
      </c>
      <c r="L32" s="12" t="s">
        <v>33</v>
      </c>
      <c r="M32" s="71" t="s">
        <v>66</v>
      </c>
      <c r="N32" s="35"/>
      <c r="O32" s="71" t="s">
        <v>65</v>
      </c>
    </row>
    <row r="33" spans="1:15" ht="15" customHeight="1">
      <c r="A33" s="167" t="s">
        <v>77</v>
      </c>
      <c r="B33" s="108">
        <v>2401.9885249999998</v>
      </c>
      <c r="C33" s="105">
        <v>3</v>
      </c>
      <c r="D33" s="153">
        <v>79.915000000000006</v>
      </c>
      <c r="E33" s="154">
        <v>700.17389000000003</v>
      </c>
      <c r="F33" s="147">
        <v>13.216200000000001</v>
      </c>
      <c r="G33" s="147">
        <v>0</v>
      </c>
      <c r="H33" s="147">
        <v>2.2244999999999999</v>
      </c>
      <c r="I33" s="147">
        <v>0.66269999999999996</v>
      </c>
      <c r="J33" s="38">
        <f>$A$6*E33/$B$33</f>
        <v>0.20783778872132622</v>
      </c>
      <c r="K33" s="82">
        <f>IF(OR(M33=O33,O33=0),O33, ROUND(O33/50,0)*50)</f>
        <v>0</v>
      </c>
      <c r="L33" s="40">
        <f>J33*K33/0.93/1000</f>
        <v>0</v>
      </c>
      <c r="M33" s="155">
        <v>1912.1</v>
      </c>
      <c r="N33" s="41"/>
      <c r="O33" s="79">
        <f>'Organized Data'!L2</f>
        <v>0</v>
      </c>
    </row>
    <row r="34" spans="1:15" ht="15">
      <c r="A34" s="168"/>
      <c r="B34" s="111"/>
      <c r="C34" s="105">
        <v>4</v>
      </c>
      <c r="D34" s="153">
        <v>94.020300000000006</v>
      </c>
      <c r="E34" s="154">
        <v>2522.2705099999998</v>
      </c>
      <c r="F34" s="147">
        <v>4.5834999999999999</v>
      </c>
      <c r="G34" s="147">
        <v>0</v>
      </c>
      <c r="H34" s="147">
        <v>0.58540000000000003</v>
      </c>
      <c r="I34" s="147">
        <v>0.61850000000000005</v>
      </c>
      <c r="J34" s="38">
        <f t="shared" ref="J34:J39" si="5">$A$6*E34/$B$33</f>
        <v>0.74870419026252422</v>
      </c>
      <c r="K34" s="82">
        <f t="shared" ref="K34:K39" si="6">IF(OR(M34=O34,O34=0),O34, ROUND(O34/50,0)*50)</f>
        <v>1934.9</v>
      </c>
      <c r="L34" s="40">
        <f t="shared" ref="L34:L39" si="7">J34*K34/0.93/1000</f>
        <v>1.5577072448806</v>
      </c>
      <c r="M34" s="155">
        <v>1934.9</v>
      </c>
      <c r="N34" s="41"/>
      <c r="O34" s="79">
        <f>'Organized Data'!L3</f>
        <v>1934.9</v>
      </c>
    </row>
    <row r="35" spans="1:15" ht="15">
      <c r="A35" s="168"/>
      <c r="B35" s="109"/>
      <c r="C35" s="105">
        <v>5</v>
      </c>
      <c r="D35" s="153">
        <v>96.155699999999996</v>
      </c>
      <c r="E35" s="154">
        <v>3121.5873999999999</v>
      </c>
      <c r="F35" s="147">
        <v>1.4941</v>
      </c>
      <c r="G35" s="147">
        <v>0</v>
      </c>
      <c r="H35" s="147">
        <v>0.38869999999999999</v>
      </c>
      <c r="I35" s="147">
        <v>1.7528999999999999</v>
      </c>
      <c r="J35" s="38">
        <f t="shared" si="5"/>
        <v>0.9266038505325499</v>
      </c>
      <c r="K35" s="82">
        <f t="shared" si="6"/>
        <v>1945.9</v>
      </c>
      <c r="L35" s="40">
        <f t="shared" si="7"/>
        <v>1.9387940137110633</v>
      </c>
      <c r="M35" s="155">
        <v>1945.9</v>
      </c>
      <c r="N35" s="41"/>
      <c r="O35" s="79">
        <f>'Organized Data'!L4</f>
        <v>1945.9</v>
      </c>
    </row>
    <row r="36" spans="1:15" ht="15">
      <c r="A36" s="168"/>
      <c r="B36" s="109"/>
      <c r="C36" s="105">
        <v>6</v>
      </c>
      <c r="D36" s="153">
        <v>95.750200000000007</v>
      </c>
      <c r="E36" s="154">
        <v>1113.0495599999999</v>
      </c>
      <c r="F36" s="147">
        <v>2.8022999999999998</v>
      </c>
      <c r="G36" s="147">
        <v>0</v>
      </c>
      <c r="H36" s="147">
        <v>0.38440000000000002</v>
      </c>
      <c r="I36" s="147">
        <v>1.0630999999999999</v>
      </c>
      <c r="J36" s="38">
        <f t="shared" si="5"/>
        <v>0.33039472421293103</v>
      </c>
      <c r="K36" s="82">
        <f t="shared" si="6"/>
        <v>1650</v>
      </c>
      <c r="L36" s="40">
        <f t="shared" si="7"/>
        <v>0.5861841881197164</v>
      </c>
      <c r="M36" s="155">
        <v>1914.2</v>
      </c>
      <c r="N36" s="41"/>
      <c r="O36" s="79">
        <f>'Organized Data'!L5</f>
        <v>1661.2170000000001</v>
      </c>
    </row>
    <row r="37" spans="1:15" ht="15">
      <c r="A37" s="168"/>
      <c r="B37" s="109"/>
      <c r="C37" s="105">
        <v>7</v>
      </c>
      <c r="D37" s="153">
        <v>96.471199999999996</v>
      </c>
      <c r="E37" s="154">
        <v>2121.9233399999998</v>
      </c>
      <c r="F37" s="147">
        <v>0.77439999999999998</v>
      </c>
      <c r="G37" s="147">
        <v>0.57010000000000005</v>
      </c>
      <c r="H37" s="147">
        <v>0.49469999999999997</v>
      </c>
      <c r="I37" s="147">
        <v>1.6897</v>
      </c>
      <c r="J37" s="38">
        <f t="shared" si="5"/>
        <v>0.62986618198769284</v>
      </c>
      <c r="K37" s="82">
        <f t="shared" si="6"/>
        <v>1927.5</v>
      </c>
      <c r="L37" s="40">
        <f t="shared" si="7"/>
        <v>1.3054484578293311</v>
      </c>
      <c r="M37" s="155">
        <v>1927.5</v>
      </c>
      <c r="N37" s="41"/>
      <c r="O37" s="79">
        <f>'Organized Data'!L6</f>
        <v>1927.5</v>
      </c>
    </row>
    <row r="38" spans="1:15" ht="15">
      <c r="A38" s="168"/>
      <c r="B38" s="109"/>
      <c r="C38" s="105">
        <v>8</v>
      </c>
      <c r="D38" s="153">
        <v>85.056299999999993</v>
      </c>
      <c r="E38" s="154">
        <v>1261.7409700000001</v>
      </c>
      <c r="F38" s="147">
        <v>0</v>
      </c>
      <c r="G38" s="147">
        <v>1.9124000000000001</v>
      </c>
      <c r="H38" s="147">
        <v>2.8071999999999999</v>
      </c>
      <c r="I38" s="147">
        <v>5.5297999999999998</v>
      </c>
      <c r="J38" s="38">
        <f t="shared" si="5"/>
        <v>0.37453189398979336</v>
      </c>
      <c r="K38" s="82">
        <f t="shared" si="6"/>
        <v>1895.4</v>
      </c>
      <c r="L38" s="40">
        <f>J38*K38/0.93/1000</f>
        <v>0.76332016329919816</v>
      </c>
      <c r="M38" s="155">
        <v>1895.4</v>
      </c>
      <c r="N38" s="41"/>
      <c r="O38" s="79">
        <f>'Organized Data'!L7</f>
        <v>1895.4</v>
      </c>
    </row>
    <row r="39" spans="1:15" ht="15">
      <c r="A39" s="168"/>
      <c r="B39" s="110"/>
      <c r="C39" s="105">
        <v>9</v>
      </c>
      <c r="D39" s="153">
        <v>86.874499999999998</v>
      </c>
      <c r="E39" s="154">
        <v>114.73866</v>
      </c>
      <c r="F39" s="147">
        <v>0</v>
      </c>
      <c r="G39" s="147">
        <v>0</v>
      </c>
      <c r="H39" s="147">
        <v>2.306</v>
      </c>
      <c r="I39" s="147">
        <v>6.7609000000000004</v>
      </c>
      <c r="J39" s="38">
        <f t="shared" si="5"/>
        <v>3.4058724148151379E-2</v>
      </c>
      <c r="K39" s="82">
        <f t="shared" si="6"/>
        <v>0</v>
      </c>
      <c r="L39" s="40">
        <f t="shared" si="7"/>
        <v>0</v>
      </c>
      <c r="M39" s="155">
        <v>1192.4000000000001</v>
      </c>
      <c r="N39" s="41"/>
      <c r="O39" s="79">
        <f>'Organized Data'!L8</f>
        <v>0</v>
      </c>
    </row>
    <row r="40" spans="1:15">
      <c r="A40" s="169"/>
      <c r="B40" s="106" t="s">
        <v>34</v>
      </c>
      <c r="C40" s="107"/>
      <c r="D40" s="107"/>
      <c r="E40" s="107"/>
      <c r="F40" s="107"/>
      <c r="G40" s="107"/>
      <c r="H40" s="107"/>
      <c r="I40" s="107"/>
      <c r="J40" s="45"/>
      <c r="K40" s="165"/>
      <c r="L40" s="166">
        <f>SUM(L33:L39)</f>
        <v>6.151454067839909</v>
      </c>
      <c r="M40" s="165"/>
      <c r="N40" s="47"/>
    </row>
    <row r="41" spans="1:15">
      <c r="A41" s="23"/>
      <c r="B41" s="23"/>
      <c r="C41" s="23"/>
      <c r="D41" s="23"/>
      <c r="E41" s="23"/>
      <c r="F41" s="24"/>
      <c r="G41" s="24"/>
    </row>
    <row r="42" spans="1:15">
      <c r="A42" s="23"/>
      <c r="B42" s="23"/>
      <c r="C42" s="23"/>
      <c r="D42" s="23"/>
      <c r="E42" s="23"/>
      <c r="I42" s="23"/>
      <c r="J42" s="23"/>
    </row>
    <row r="43" spans="1:15" ht="36">
      <c r="A43" s="33" t="s">
        <v>23</v>
      </c>
      <c r="B43" s="33" t="s">
        <v>24</v>
      </c>
      <c r="C43" s="34" t="s">
        <v>25</v>
      </c>
      <c r="D43" s="12" t="s">
        <v>26</v>
      </c>
      <c r="E43" s="12" t="s">
        <v>10</v>
      </c>
      <c r="F43" s="12" t="s">
        <v>27</v>
      </c>
      <c r="G43" s="12" t="s">
        <v>28</v>
      </c>
      <c r="H43" s="12" t="s">
        <v>29</v>
      </c>
      <c r="I43" s="12" t="s">
        <v>30</v>
      </c>
      <c r="J43" s="12" t="s">
        <v>31</v>
      </c>
      <c r="K43" s="12" t="s">
        <v>32</v>
      </c>
      <c r="L43" s="12" t="s">
        <v>33</v>
      </c>
      <c r="M43" s="12" t="s">
        <v>32</v>
      </c>
      <c r="N43" s="35"/>
    </row>
    <row r="44" spans="1:15" ht="15" customHeight="1">
      <c r="A44" s="167" t="s">
        <v>72</v>
      </c>
      <c r="B44" s="115">
        <v>2445.3298333333332</v>
      </c>
      <c r="C44" s="112">
        <v>3</v>
      </c>
      <c r="D44" s="153">
        <v>80.9208</v>
      </c>
      <c r="E44" s="154">
        <v>719.01349000000005</v>
      </c>
      <c r="F44" s="148">
        <v>12.853899999999999</v>
      </c>
      <c r="G44" s="148">
        <v>0</v>
      </c>
      <c r="H44" s="148">
        <v>1.7025999999999999</v>
      </c>
      <c r="I44" s="148">
        <v>0.39369999999999999</v>
      </c>
      <c r="J44" s="38">
        <f t="shared" ref="J44:J50" si="8">$A$6*E44/$B$44</f>
        <v>0.20964722688193599</v>
      </c>
      <c r="K44" s="82">
        <f>IF(OR(M44=O44,O44=0),O44, ROUND(O44/50,0)*50)</f>
        <v>900</v>
      </c>
      <c r="L44" s="40">
        <f>J44*K44/0.93/1000</f>
        <v>0.20288441311155098</v>
      </c>
      <c r="M44" s="156">
        <v>1986.8</v>
      </c>
      <c r="N44" s="41"/>
      <c r="O44" s="79">
        <f>'Organized Data'!L9</f>
        <v>918.56775000000005</v>
      </c>
    </row>
    <row r="45" spans="1:15" ht="15">
      <c r="A45" s="168"/>
      <c r="B45" s="118"/>
      <c r="C45" s="112">
        <v>4</v>
      </c>
      <c r="D45" s="153">
        <v>93.851100000000002</v>
      </c>
      <c r="E45" s="154">
        <v>2673.7128899999998</v>
      </c>
      <c r="F45" s="148">
        <v>4.5094000000000003</v>
      </c>
      <c r="G45" s="148">
        <v>0</v>
      </c>
      <c r="H45" s="148">
        <v>0.62</v>
      </c>
      <c r="I45" s="148">
        <v>0.84589999999999999</v>
      </c>
      <c r="J45" s="38">
        <f t="shared" si="8"/>
        <v>0.77959106562379887</v>
      </c>
      <c r="K45" s="82">
        <f t="shared" ref="K45:K50" si="9">IF(OR(M45=O45,O45=0),O45, ROUND(O45/50,0)*50)</f>
        <v>1967.2</v>
      </c>
      <c r="L45" s="40">
        <f t="shared" ref="L45:L50" si="10">J45*K45/0.93/1000</f>
        <v>1.6490446712850937</v>
      </c>
      <c r="M45" s="156">
        <v>1967.2</v>
      </c>
      <c r="N45" s="41"/>
      <c r="O45" s="79">
        <f>'Organized Data'!L10</f>
        <v>1967.2</v>
      </c>
    </row>
    <row r="46" spans="1:15" ht="15">
      <c r="A46" s="168"/>
      <c r="B46" s="116"/>
      <c r="C46" s="112">
        <v>5</v>
      </c>
      <c r="D46" s="153">
        <v>96.249600000000001</v>
      </c>
      <c r="E46" s="154">
        <v>3108.2907700000001</v>
      </c>
      <c r="F46" s="148">
        <v>1.4544999999999999</v>
      </c>
      <c r="G46" s="148">
        <v>0</v>
      </c>
      <c r="H46" s="148">
        <v>0.34939999999999999</v>
      </c>
      <c r="I46" s="148">
        <v>1.7643</v>
      </c>
      <c r="J46" s="38">
        <f t="shared" si="8"/>
        <v>0.90630363593486607</v>
      </c>
      <c r="K46" s="82">
        <f t="shared" si="9"/>
        <v>0</v>
      </c>
      <c r="L46" s="40">
        <f t="shared" si="10"/>
        <v>0</v>
      </c>
      <c r="M46" s="156">
        <v>1981.7</v>
      </c>
      <c r="N46" s="41"/>
      <c r="O46" s="79">
        <f>'Organized Data'!L11</f>
        <v>0</v>
      </c>
    </row>
    <row r="47" spans="1:15" ht="15">
      <c r="A47" s="168"/>
      <c r="B47" s="116"/>
      <c r="C47" s="112">
        <v>6</v>
      </c>
      <c r="D47" s="153">
        <v>96.090800000000002</v>
      </c>
      <c r="E47" s="154">
        <v>1141.36365</v>
      </c>
      <c r="F47" s="148">
        <v>2.8395999999999999</v>
      </c>
      <c r="G47" s="148">
        <v>0</v>
      </c>
      <c r="H47" s="148">
        <v>0</v>
      </c>
      <c r="I47" s="148">
        <v>1.0694999999999999</v>
      </c>
      <c r="J47" s="38">
        <f t="shared" si="8"/>
        <v>0.33279448496348041</v>
      </c>
      <c r="K47" s="82">
        <f t="shared" si="9"/>
        <v>0</v>
      </c>
      <c r="L47" s="40">
        <f t="shared" si="10"/>
        <v>0</v>
      </c>
      <c r="M47" s="156">
        <v>1948</v>
      </c>
      <c r="N47" s="41"/>
      <c r="O47" s="79">
        <f>'Organized Data'!L12</f>
        <v>0</v>
      </c>
    </row>
    <row r="48" spans="1:15" ht="15">
      <c r="A48" s="168"/>
      <c r="B48" s="116"/>
      <c r="C48" s="112">
        <v>7</v>
      </c>
      <c r="D48" s="153">
        <v>95.367699999999999</v>
      </c>
      <c r="E48" s="154">
        <v>2324.9521500000001</v>
      </c>
      <c r="F48" s="148">
        <v>1.3058000000000001</v>
      </c>
      <c r="G48" s="148">
        <v>0</v>
      </c>
      <c r="H48" s="148">
        <v>0.57020000000000004</v>
      </c>
      <c r="I48" s="148">
        <v>2.0575999999999999</v>
      </c>
      <c r="J48" s="38">
        <f t="shared" si="8"/>
        <v>0.6779007315713852</v>
      </c>
      <c r="K48" s="82">
        <f t="shared" si="9"/>
        <v>0</v>
      </c>
      <c r="L48" s="40">
        <f t="shared" si="10"/>
        <v>0</v>
      </c>
      <c r="M48" s="156">
        <v>1897.9</v>
      </c>
      <c r="N48" s="41"/>
      <c r="O48" s="79">
        <f>'Organized Data'!L13</f>
        <v>0</v>
      </c>
    </row>
    <row r="49" spans="1:1022 1039:2048 2065:3056 3073:4082 4099:5108 5125:6134 6151:7160 7177:8186 8203:9212 9229:10238 10255:11264 11281:12272 12289:13298 13315:14324 14341:15350 15367:16376" ht="15">
      <c r="A49" s="168"/>
      <c r="B49" s="116"/>
      <c r="C49" s="112">
        <v>8</v>
      </c>
      <c r="D49" s="153">
        <v>86.062799999999996</v>
      </c>
      <c r="E49" s="154">
        <v>1434.16418</v>
      </c>
      <c r="F49" s="148">
        <v>0</v>
      </c>
      <c r="G49" s="148">
        <v>1.8923000000000001</v>
      </c>
      <c r="H49" s="148">
        <v>2.7092999999999998</v>
      </c>
      <c r="I49" s="148">
        <v>5.2944000000000004</v>
      </c>
      <c r="J49" s="38">
        <f t="shared" si="8"/>
        <v>0.41816815318778744</v>
      </c>
      <c r="K49" s="82">
        <f t="shared" si="9"/>
        <v>1890.9</v>
      </c>
      <c r="L49" s="40">
        <f>J49*K49/0.93/1000</f>
        <v>0.85023028049762073</v>
      </c>
      <c r="M49" s="156">
        <v>1890.9</v>
      </c>
      <c r="N49" s="41"/>
      <c r="O49" s="79">
        <f>'Organized Data'!L14</f>
        <v>1890.9</v>
      </c>
    </row>
    <row r="50" spans="1:1022 1039:2048 2065:3056 3073:4082 4099:5108 5125:6134 6151:7160 7177:8186 8203:9212 9229:10238 10255:11264 11281:12272 12289:13298 13315:14324 14341:15350 15367:16376" ht="15">
      <c r="A50" s="168"/>
      <c r="B50" s="117"/>
      <c r="C50" s="112">
        <v>9</v>
      </c>
      <c r="D50" s="153">
        <v>84.411100000000005</v>
      </c>
      <c r="E50" s="154">
        <v>131.67075</v>
      </c>
      <c r="F50" s="148">
        <v>0</v>
      </c>
      <c r="G50" s="148">
        <v>0</v>
      </c>
      <c r="H50" s="148">
        <v>1.742</v>
      </c>
      <c r="I50" s="148">
        <v>6.5374999999999996</v>
      </c>
      <c r="J50" s="38">
        <f t="shared" si="8"/>
        <v>3.8392057983452674E-2</v>
      </c>
      <c r="K50" s="82">
        <f t="shared" si="9"/>
        <v>0</v>
      </c>
      <c r="L50" s="40">
        <f t="shared" si="10"/>
        <v>0</v>
      </c>
      <c r="M50" s="156">
        <v>1648.8</v>
      </c>
      <c r="N50" s="41"/>
      <c r="O50" s="79">
        <f>'Organized Data'!L15</f>
        <v>0</v>
      </c>
    </row>
    <row r="51" spans="1:1022 1039:2048 2065:3056 3073:4082 4099:5108 5125:6134 6151:7160 7177:8186 8203:9212 9229:10238 10255:11264 11281:12272 12289:13298 13315:14324 14341:15350 15367:16376">
      <c r="A51" s="169"/>
      <c r="B51" s="113" t="s">
        <v>34</v>
      </c>
      <c r="C51" s="114"/>
      <c r="D51" s="114"/>
      <c r="E51" s="114"/>
      <c r="F51" s="114"/>
      <c r="G51" s="114"/>
      <c r="H51" s="114"/>
      <c r="I51" s="114"/>
      <c r="J51" s="45"/>
      <c r="K51" s="46"/>
      <c r="L51" s="166">
        <f>SUM(L44:L50)</f>
        <v>2.7021593648942654</v>
      </c>
      <c r="M51" s="46"/>
      <c r="N51" s="47"/>
    </row>
    <row r="52" spans="1:1022 1039:2048 2065:3056 3073:4082 4099:5108 5125:6134 6151:7160 7177:8186 8203:9212 9229:10238 10255:11264 11281:12272 12289:13298 13315:14324 14341:15350 15367:16376">
      <c r="A52" s="24"/>
      <c r="B52" s="24"/>
      <c r="O52" s="24"/>
      <c r="AE52" s="24"/>
      <c r="AF52" s="24"/>
      <c r="AW52" s="24"/>
      <c r="AX52" s="24"/>
      <c r="BO52" s="24"/>
      <c r="BP52" s="24"/>
      <c r="CG52" s="24"/>
      <c r="CH52" s="24"/>
      <c r="CY52" s="24"/>
      <c r="CZ52" s="24"/>
      <c r="DQ52" s="24"/>
      <c r="DR52" s="24"/>
      <c r="EI52" s="24"/>
      <c r="EJ52" s="24"/>
      <c r="FA52" s="24"/>
      <c r="FB52" s="24"/>
      <c r="FS52" s="24"/>
      <c r="FT52" s="24"/>
      <c r="GK52" s="24"/>
      <c r="GL52" s="24"/>
      <c r="HC52" s="24"/>
      <c r="HD52" s="24"/>
      <c r="HU52" s="24"/>
      <c r="HV52" s="24"/>
      <c r="IM52" s="24"/>
      <c r="IN52" s="24"/>
      <c r="JE52" s="24"/>
      <c r="JF52" s="24"/>
      <c r="JW52" s="24"/>
      <c r="JX52" s="24"/>
      <c r="KO52" s="24"/>
      <c r="KP52" s="24"/>
      <c r="LG52" s="24"/>
      <c r="LH52" s="24"/>
      <c r="LY52" s="24"/>
      <c r="LZ52" s="24"/>
      <c r="MQ52" s="24"/>
      <c r="MR52" s="24"/>
      <c r="NI52" s="24"/>
      <c r="NJ52" s="24"/>
      <c r="OA52" s="24"/>
      <c r="OB52" s="24"/>
      <c r="OS52" s="24"/>
      <c r="OT52" s="24"/>
      <c r="PK52" s="24"/>
      <c r="PL52" s="24"/>
      <c r="QC52" s="24"/>
      <c r="QD52" s="24"/>
      <c r="QU52" s="24"/>
      <c r="QV52" s="24"/>
      <c r="RM52" s="24"/>
      <c r="RN52" s="24"/>
      <c r="SE52" s="24"/>
      <c r="SF52" s="24"/>
      <c r="SW52" s="24"/>
      <c r="SX52" s="24"/>
      <c r="TO52" s="24"/>
      <c r="TP52" s="24"/>
      <c r="UG52" s="24"/>
      <c r="UH52" s="24"/>
      <c r="UY52" s="24"/>
      <c r="UZ52" s="24"/>
      <c r="VQ52" s="24"/>
      <c r="VR52" s="24"/>
      <c r="WI52" s="24"/>
      <c r="WJ52" s="24"/>
      <c r="XA52" s="24"/>
      <c r="XB52" s="24"/>
      <c r="XS52" s="24"/>
      <c r="XT52" s="24"/>
      <c r="YK52" s="24"/>
      <c r="YL52" s="24"/>
      <c r="ZC52" s="24"/>
      <c r="ZD52" s="24"/>
      <c r="ZU52" s="24"/>
      <c r="ZV52" s="24"/>
      <c r="AAM52" s="24"/>
      <c r="AAN52" s="24"/>
      <c r="ABE52" s="24"/>
      <c r="ABF52" s="24"/>
      <c r="ABW52" s="24"/>
      <c r="ABX52" s="24"/>
      <c r="ACO52" s="24"/>
      <c r="ACP52" s="24"/>
      <c r="ADG52" s="24"/>
      <c r="ADH52" s="24"/>
      <c r="ADY52" s="24"/>
      <c r="ADZ52" s="24"/>
      <c r="AEQ52" s="24"/>
      <c r="AER52" s="24"/>
      <c r="AFI52" s="24"/>
      <c r="AFJ52" s="24"/>
      <c r="AGA52" s="24"/>
      <c r="AGB52" s="24"/>
      <c r="AGS52" s="24"/>
      <c r="AGT52" s="24"/>
      <c r="AHK52" s="24"/>
      <c r="AHL52" s="24"/>
      <c r="AIC52" s="24"/>
      <c r="AID52" s="24"/>
      <c r="AIU52" s="24"/>
      <c r="AIV52" s="24"/>
      <c r="AJM52" s="24"/>
      <c r="AJN52" s="24"/>
      <c r="AKE52" s="24"/>
      <c r="AKF52" s="24"/>
      <c r="AKW52" s="24"/>
      <c r="AKX52" s="24"/>
      <c r="ALO52" s="24"/>
      <c r="ALP52" s="24"/>
      <c r="AMG52" s="24"/>
      <c r="AMH52" s="24"/>
      <c r="AMY52" s="24"/>
      <c r="AMZ52" s="24"/>
      <c r="ANQ52" s="24"/>
      <c r="ANR52" s="24"/>
      <c r="AOI52" s="24"/>
      <c r="AOJ52" s="24"/>
      <c r="APA52" s="24"/>
      <c r="APB52" s="24"/>
      <c r="APS52" s="24"/>
      <c r="APT52" s="24"/>
      <c r="AQK52" s="24"/>
      <c r="AQL52" s="24"/>
      <c r="ARC52" s="24"/>
      <c r="ARD52" s="24"/>
      <c r="ARU52" s="24"/>
      <c r="ARV52" s="24"/>
      <c r="ASM52" s="24"/>
      <c r="ASN52" s="24"/>
      <c r="ATE52" s="24"/>
      <c r="ATF52" s="24"/>
      <c r="ATW52" s="24"/>
      <c r="ATX52" s="24"/>
      <c r="AUO52" s="24"/>
      <c r="AUP52" s="24"/>
      <c r="AVG52" s="24"/>
      <c r="AVH52" s="24"/>
      <c r="AVY52" s="24"/>
      <c r="AVZ52" s="24"/>
      <c r="AWQ52" s="24"/>
      <c r="AWR52" s="24"/>
      <c r="AXI52" s="24"/>
      <c r="AXJ52" s="24"/>
      <c r="AYA52" s="24"/>
      <c r="AYB52" s="24"/>
      <c r="AYS52" s="24"/>
      <c r="AYT52" s="24"/>
      <c r="AZK52" s="24"/>
      <c r="AZL52" s="24"/>
      <c r="BAC52" s="24"/>
      <c r="BAD52" s="24"/>
      <c r="BAU52" s="24"/>
      <c r="BAV52" s="24"/>
      <c r="BBM52" s="24"/>
      <c r="BBN52" s="24"/>
      <c r="BCE52" s="24"/>
      <c r="BCF52" s="24"/>
      <c r="BCW52" s="24"/>
      <c r="BCX52" s="24"/>
      <c r="BDO52" s="24"/>
      <c r="BDP52" s="24"/>
      <c r="BEG52" s="24"/>
      <c r="BEH52" s="24"/>
      <c r="BEY52" s="24"/>
      <c r="BEZ52" s="24"/>
      <c r="BFQ52" s="24"/>
      <c r="BFR52" s="24"/>
      <c r="BGI52" s="24"/>
      <c r="BGJ52" s="24"/>
      <c r="BHA52" s="24"/>
      <c r="BHB52" s="24"/>
      <c r="BHS52" s="24"/>
      <c r="BHT52" s="24"/>
      <c r="BIK52" s="24"/>
      <c r="BIL52" s="24"/>
      <c r="BJC52" s="24"/>
      <c r="BJD52" s="24"/>
      <c r="BJU52" s="24"/>
      <c r="BJV52" s="24"/>
      <c r="BKM52" s="24"/>
      <c r="BKN52" s="24"/>
      <c r="BLE52" s="24"/>
      <c r="BLF52" s="24"/>
      <c r="BLW52" s="24"/>
      <c r="BLX52" s="24"/>
      <c r="BMO52" s="24"/>
      <c r="BMP52" s="24"/>
      <c r="BNG52" s="24"/>
      <c r="BNH52" s="24"/>
      <c r="BNY52" s="24"/>
      <c r="BNZ52" s="24"/>
      <c r="BOQ52" s="24"/>
      <c r="BOR52" s="24"/>
      <c r="BPI52" s="24"/>
      <c r="BPJ52" s="24"/>
      <c r="BQA52" s="24"/>
      <c r="BQB52" s="24"/>
      <c r="BQS52" s="24"/>
      <c r="BQT52" s="24"/>
      <c r="BRK52" s="24"/>
      <c r="BRL52" s="24"/>
      <c r="BSC52" s="24"/>
      <c r="BSD52" s="24"/>
      <c r="BSU52" s="24"/>
      <c r="BSV52" s="24"/>
      <c r="BTM52" s="24"/>
      <c r="BTN52" s="24"/>
      <c r="BUE52" s="24"/>
      <c r="BUF52" s="24"/>
      <c r="BUW52" s="24"/>
      <c r="BUX52" s="24"/>
      <c r="BVO52" s="24"/>
      <c r="BVP52" s="24"/>
      <c r="BWG52" s="24"/>
      <c r="BWH52" s="24"/>
      <c r="BWY52" s="24"/>
      <c r="BWZ52" s="24"/>
      <c r="BXQ52" s="24"/>
      <c r="BXR52" s="24"/>
      <c r="BYI52" s="24"/>
      <c r="BYJ52" s="24"/>
      <c r="BZA52" s="24"/>
      <c r="BZB52" s="24"/>
      <c r="BZS52" s="24"/>
      <c r="BZT52" s="24"/>
      <c r="CAK52" s="24"/>
      <c r="CAL52" s="24"/>
      <c r="CBC52" s="24"/>
      <c r="CBD52" s="24"/>
      <c r="CBU52" s="24"/>
      <c r="CBV52" s="24"/>
      <c r="CCM52" s="24"/>
      <c r="CCN52" s="24"/>
      <c r="CDE52" s="24"/>
      <c r="CDF52" s="24"/>
      <c r="CDW52" s="24"/>
      <c r="CDX52" s="24"/>
      <c r="CEO52" s="24"/>
      <c r="CEP52" s="24"/>
      <c r="CFG52" s="24"/>
      <c r="CFH52" s="24"/>
      <c r="CFY52" s="24"/>
      <c r="CFZ52" s="24"/>
      <c r="CGQ52" s="24"/>
      <c r="CGR52" s="24"/>
      <c r="CHI52" s="24"/>
      <c r="CHJ52" s="24"/>
      <c r="CIA52" s="24"/>
      <c r="CIB52" s="24"/>
      <c r="CIS52" s="24"/>
      <c r="CIT52" s="24"/>
      <c r="CJK52" s="24"/>
      <c r="CJL52" s="24"/>
      <c r="CKC52" s="24"/>
      <c r="CKD52" s="24"/>
      <c r="CKU52" s="24"/>
      <c r="CKV52" s="24"/>
      <c r="CLM52" s="24"/>
      <c r="CLN52" s="24"/>
      <c r="CME52" s="24"/>
      <c r="CMF52" s="24"/>
      <c r="CMW52" s="24"/>
      <c r="CMX52" s="24"/>
      <c r="CNO52" s="24"/>
      <c r="CNP52" s="24"/>
      <c r="COG52" s="24"/>
      <c r="COH52" s="24"/>
      <c r="COY52" s="24"/>
      <c r="COZ52" s="24"/>
      <c r="CPQ52" s="24"/>
      <c r="CPR52" s="24"/>
      <c r="CQI52" s="24"/>
      <c r="CQJ52" s="24"/>
      <c r="CRA52" s="24"/>
      <c r="CRB52" s="24"/>
      <c r="CRS52" s="24"/>
      <c r="CRT52" s="24"/>
      <c r="CSK52" s="24"/>
      <c r="CSL52" s="24"/>
      <c r="CTC52" s="24"/>
      <c r="CTD52" s="24"/>
      <c r="CTU52" s="24"/>
      <c r="CTV52" s="24"/>
      <c r="CUM52" s="24"/>
      <c r="CUN52" s="24"/>
      <c r="CVE52" s="24"/>
      <c r="CVF52" s="24"/>
      <c r="CVW52" s="24"/>
      <c r="CVX52" s="24"/>
      <c r="CWO52" s="24"/>
      <c r="CWP52" s="24"/>
      <c r="CXG52" s="24"/>
      <c r="CXH52" s="24"/>
      <c r="CXY52" s="24"/>
      <c r="CXZ52" s="24"/>
      <c r="CYQ52" s="24"/>
      <c r="CYR52" s="24"/>
      <c r="CZI52" s="24"/>
      <c r="CZJ52" s="24"/>
      <c r="DAA52" s="24"/>
      <c r="DAB52" s="24"/>
      <c r="DAS52" s="24"/>
      <c r="DAT52" s="24"/>
      <c r="DBK52" s="24"/>
      <c r="DBL52" s="24"/>
      <c r="DCC52" s="24"/>
      <c r="DCD52" s="24"/>
      <c r="DCU52" s="24"/>
      <c r="DCV52" s="24"/>
      <c r="DDM52" s="24"/>
      <c r="DDN52" s="24"/>
      <c r="DEE52" s="24"/>
      <c r="DEF52" s="24"/>
      <c r="DEW52" s="24"/>
      <c r="DEX52" s="24"/>
      <c r="DFO52" s="24"/>
      <c r="DFP52" s="24"/>
      <c r="DGG52" s="24"/>
      <c r="DGH52" s="24"/>
      <c r="DGY52" s="24"/>
      <c r="DGZ52" s="24"/>
      <c r="DHQ52" s="24"/>
      <c r="DHR52" s="24"/>
      <c r="DII52" s="24"/>
      <c r="DIJ52" s="24"/>
      <c r="DJA52" s="24"/>
      <c r="DJB52" s="24"/>
      <c r="DJS52" s="24"/>
      <c r="DJT52" s="24"/>
      <c r="DKK52" s="24"/>
      <c r="DKL52" s="24"/>
      <c r="DLC52" s="24"/>
      <c r="DLD52" s="24"/>
      <c r="DLU52" s="24"/>
      <c r="DLV52" s="24"/>
      <c r="DMM52" s="24"/>
      <c r="DMN52" s="24"/>
      <c r="DNE52" s="24"/>
      <c r="DNF52" s="24"/>
      <c r="DNW52" s="24"/>
      <c r="DNX52" s="24"/>
      <c r="DOO52" s="24"/>
      <c r="DOP52" s="24"/>
      <c r="DPG52" s="24"/>
      <c r="DPH52" s="24"/>
      <c r="DPY52" s="24"/>
      <c r="DPZ52" s="24"/>
      <c r="DQQ52" s="24"/>
      <c r="DQR52" s="24"/>
      <c r="DRI52" s="24"/>
      <c r="DRJ52" s="24"/>
      <c r="DSA52" s="24"/>
      <c r="DSB52" s="24"/>
      <c r="DSS52" s="24"/>
      <c r="DST52" s="24"/>
      <c r="DTK52" s="24"/>
      <c r="DTL52" s="24"/>
      <c r="DUC52" s="24"/>
      <c r="DUD52" s="24"/>
      <c r="DUU52" s="24"/>
      <c r="DUV52" s="24"/>
      <c r="DVM52" s="24"/>
      <c r="DVN52" s="24"/>
      <c r="DWE52" s="24"/>
      <c r="DWF52" s="24"/>
      <c r="DWW52" s="24"/>
      <c r="DWX52" s="24"/>
      <c r="DXO52" s="24"/>
      <c r="DXP52" s="24"/>
      <c r="DYG52" s="24"/>
      <c r="DYH52" s="24"/>
      <c r="DYY52" s="24"/>
      <c r="DYZ52" s="24"/>
      <c r="DZQ52" s="24"/>
      <c r="DZR52" s="24"/>
      <c r="EAI52" s="24"/>
      <c r="EAJ52" s="24"/>
      <c r="EBA52" s="24"/>
      <c r="EBB52" s="24"/>
      <c r="EBS52" s="24"/>
      <c r="EBT52" s="24"/>
      <c r="ECK52" s="24"/>
      <c r="ECL52" s="24"/>
      <c r="EDC52" s="24"/>
      <c r="EDD52" s="24"/>
      <c r="EDU52" s="24"/>
      <c r="EDV52" s="24"/>
      <c r="EEM52" s="24"/>
      <c r="EEN52" s="24"/>
      <c r="EFE52" s="24"/>
      <c r="EFF52" s="24"/>
      <c r="EFW52" s="24"/>
      <c r="EFX52" s="24"/>
      <c r="EGO52" s="24"/>
      <c r="EGP52" s="24"/>
      <c r="EHG52" s="24"/>
      <c r="EHH52" s="24"/>
      <c r="EHY52" s="24"/>
      <c r="EHZ52" s="24"/>
      <c r="EIQ52" s="24"/>
      <c r="EIR52" s="24"/>
      <c r="EJI52" s="24"/>
      <c r="EJJ52" s="24"/>
      <c r="EKA52" s="24"/>
      <c r="EKB52" s="24"/>
      <c r="EKS52" s="24"/>
      <c r="EKT52" s="24"/>
      <c r="ELK52" s="24"/>
      <c r="ELL52" s="24"/>
      <c r="EMC52" s="24"/>
      <c r="EMD52" s="24"/>
      <c r="EMU52" s="24"/>
      <c r="EMV52" s="24"/>
      <c r="ENM52" s="24"/>
      <c r="ENN52" s="24"/>
      <c r="EOE52" s="24"/>
      <c r="EOF52" s="24"/>
      <c r="EOW52" s="24"/>
      <c r="EOX52" s="24"/>
      <c r="EPO52" s="24"/>
      <c r="EPP52" s="24"/>
      <c r="EQG52" s="24"/>
      <c r="EQH52" s="24"/>
      <c r="EQY52" s="24"/>
      <c r="EQZ52" s="24"/>
      <c r="ERQ52" s="24"/>
      <c r="ERR52" s="24"/>
      <c r="ESI52" s="24"/>
      <c r="ESJ52" s="24"/>
      <c r="ETA52" s="24"/>
      <c r="ETB52" s="24"/>
      <c r="ETS52" s="24"/>
      <c r="ETT52" s="24"/>
      <c r="EUK52" s="24"/>
      <c r="EUL52" s="24"/>
      <c r="EVC52" s="24"/>
      <c r="EVD52" s="24"/>
      <c r="EVU52" s="24"/>
      <c r="EVV52" s="24"/>
      <c r="EWM52" s="24"/>
      <c r="EWN52" s="24"/>
      <c r="EXE52" s="24"/>
      <c r="EXF52" s="24"/>
      <c r="EXW52" s="24"/>
      <c r="EXX52" s="24"/>
      <c r="EYO52" s="24"/>
      <c r="EYP52" s="24"/>
      <c r="EZG52" s="24"/>
      <c r="EZH52" s="24"/>
      <c r="EZY52" s="24"/>
      <c r="EZZ52" s="24"/>
      <c r="FAQ52" s="24"/>
      <c r="FAR52" s="24"/>
      <c r="FBI52" s="24"/>
      <c r="FBJ52" s="24"/>
      <c r="FCA52" s="24"/>
      <c r="FCB52" s="24"/>
      <c r="FCS52" s="24"/>
      <c r="FCT52" s="24"/>
      <c r="FDK52" s="24"/>
      <c r="FDL52" s="24"/>
      <c r="FEC52" s="24"/>
      <c r="FED52" s="24"/>
      <c r="FEU52" s="24"/>
      <c r="FEV52" s="24"/>
      <c r="FFM52" s="24"/>
      <c r="FFN52" s="24"/>
      <c r="FGE52" s="24"/>
      <c r="FGF52" s="24"/>
      <c r="FGW52" s="24"/>
      <c r="FGX52" s="24"/>
      <c r="FHO52" s="24"/>
      <c r="FHP52" s="24"/>
      <c r="FIG52" s="24"/>
      <c r="FIH52" s="24"/>
      <c r="FIY52" s="24"/>
      <c r="FIZ52" s="24"/>
      <c r="FJQ52" s="24"/>
      <c r="FJR52" s="24"/>
      <c r="FKI52" s="24"/>
      <c r="FKJ52" s="24"/>
      <c r="FLA52" s="24"/>
      <c r="FLB52" s="24"/>
      <c r="FLS52" s="24"/>
      <c r="FLT52" s="24"/>
      <c r="FMK52" s="24"/>
      <c r="FML52" s="24"/>
      <c r="FNC52" s="24"/>
      <c r="FND52" s="24"/>
      <c r="FNU52" s="24"/>
      <c r="FNV52" s="24"/>
      <c r="FOM52" s="24"/>
      <c r="FON52" s="24"/>
      <c r="FPE52" s="24"/>
      <c r="FPF52" s="24"/>
      <c r="FPW52" s="24"/>
      <c r="FPX52" s="24"/>
      <c r="FQO52" s="24"/>
      <c r="FQP52" s="24"/>
      <c r="FRG52" s="24"/>
      <c r="FRH52" s="24"/>
      <c r="FRY52" s="24"/>
      <c r="FRZ52" s="24"/>
      <c r="FSQ52" s="24"/>
      <c r="FSR52" s="24"/>
      <c r="FTI52" s="24"/>
      <c r="FTJ52" s="24"/>
      <c r="FUA52" s="24"/>
      <c r="FUB52" s="24"/>
      <c r="FUS52" s="24"/>
      <c r="FUT52" s="24"/>
      <c r="FVK52" s="24"/>
      <c r="FVL52" s="24"/>
      <c r="FWC52" s="24"/>
      <c r="FWD52" s="24"/>
      <c r="FWU52" s="24"/>
      <c r="FWV52" s="24"/>
      <c r="FXM52" s="24"/>
      <c r="FXN52" s="24"/>
      <c r="FYE52" s="24"/>
      <c r="FYF52" s="24"/>
      <c r="FYW52" s="24"/>
      <c r="FYX52" s="24"/>
      <c r="FZO52" s="24"/>
      <c r="FZP52" s="24"/>
      <c r="GAG52" s="24"/>
      <c r="GAH52" s="24"/>
      <c r="GAY52" s="24"/>
      <c r="GAZ52" s="24"/>
      <c r="GBQ52" s="24"/>
      <c r="GBR52" s="24"/>
      <c r="GCI52" s="24"/>
      <c r="GCJ52" s="24"/>
      <c r="GDA52" s="24"/>
      <c r="GDB52" s="24"/>
      <c r="GDS52" s="24"/>
      <c r="GDT52" s="24"/>
      <c r="GEK52" s="24"/>
      <c r="GEL52" s="24"/>
      <c r="GFC52" s="24"/>
      <c r="GFD52" s="24"/>
      <c r="GFU52" s="24"/>
      <c r="GFV52" s="24"/>
      <c r="GGM52" s="24"/>
      <c r="GGN52" s="24"/>
      <c r="GHE52" s="24"/>
      <c r="GHF52" s="24"/>
      <c r="GHW52" s="24"/>
      <c r="GHX52" s="24"/>
      <c r="GIO52" s="24"/>
      <c r="GIP52" s="24"/>
      <c r="GJG52" s="24"/>
      <c r="GJH52" s="24"/>
      <c r="GJY52" s="24"/>
      <c r="GJZ52" s="24"/>
      <c r="GKQ52" s="24"/>
      <c r="GKR52" s="24"/>
      <c r="GLI52" s="24"/>
      <c r="GLJ52" s="24"/>
      <c r="GMA52" s="24"/>
      <c r="GMB52" s="24"/>
      <c r="GMS52" s="24"/>
      <c r="GMT52" s="24"/>
      <c r="GNK52" s="24"/>
      <c r="GNL52" s="24"/>
      <c r="GOC52" s="24"/>
      <c r="GOD52" s="24"/>
      <c r="GOU52" s="24"/>
      <c r="GOV52" s="24"/>
      <c r="GPM52" s="24"/>
      <c r="GPN52" s="24"/>
      <c r="GQE52" s="24"/>
      <c r="GQF52" s="24"/>
      <c r="GQW52" s="24"/>
      <c r="GQX52" s="24"/>
      <c r="GRO52" s="24"/>
      <c r="GRP52" s="24"/>
      <c r="GSG52" s="24"/>
      <c r="GSH52" s="24"/>
      <c r="GSY52" s="24"/>
      <c r="GSZ52" s="24"/>
      <c r="GTQ52" s="24"/>
      <c r="GTR52" s="24"/>
      <c r="GUI52" s="24"/>
      <c r="GUJ52" s="24"/>
      <c r="GVA52" s="24"/>
      <c r="GVB52" s="24"/>
      <c r="GVS52" s="24"/>
      <c r="GVT52" s="24"/>
      <c r="GWK52" s="24"/>
      <c r="GWL52" s="24"/>
      <c r="GXC52" s="24"/>
      <c r="GXD52" s="24"/>
      <c r="GXU52" s="24"/>
      <c r="GXV52" s="24"/>
      <c r="GYM52" s="24"/>
      <c r="GYN52" s="24"/>
      <c r="GZE52" s="24"/>
      <c r="GZF52" s="24"/>
      <c r="GZW52" s="24"/>
      <c r="GZX52" s="24"/>
      <c r="HAO52" s="24"/>
      <c r="HAP52" s="24"/>
      <c r="HBG52" s="24"/>
      <c r="HBH52" s="24"/>
      <c r="HBY52" s="24"/>
      <c r="HBZ52" s="24"/>
      <c r="HCQ52" s="24"/>
      <c r="HCR52" s="24"/>
      <c r="HDI52" s="24"/>
      <c r="HDJ52" s="24"/>
      <c r="HEA52" s="24"/>
      <c r="HEB52" s="24"/>
      <c r="HES52" s="24"/>
      <c r="HET52" s="24"/>
      <c r="HFK52" s="24"/>
      <c r="HFL52" s="24"/>
      <c r="HGC52" s="24"/>
      <c r="HGD52" s="24"/>
      <c r="HGU52" s="24"/>
      <c r="HGV52" s="24"/>
      <c r="HHM52" s="24"/>
      <c r="HHN52" s="24"/>
      <c r="HIE52" s="24"/>
      <c r="HIF52" s="24"/>
      <c r="HIW52" s="24"/>
      <c r="HIX52" s="24"/>
      <c r="HJO52" s="24"/>
      <c r="HJP52" s="24"/>
      <c r="HKG52" s="24"/>
      <c r="HKH52" s="24"/>
      <c r="HKY52" s="24"/>
      <c r="HKZ52" s="24"/>
      <c r="HLQ52" s="24"/>
      <c r="HLR52" s="24"/>
      <c r="HMI52" s="24"/>
      <c r="HMJ52" s="24"/>
      <c r="HNA52" s="24"/>
      <c r="HNB52" s="24"/>
      <c r="HNS52" s="24"/>
      <c r="HNT52" s="24"/>
      <c r="HOK52" s="24"/>
      <c r="HOL52" s="24"/>
      <c r="HPC52" s="24"/>
      <c r="HPD52" s="24"/>
      <c r="HPU52" s="24"/>
      <c r="HPV52" s="24"/>
      <c r="HQM52" s="24"/>
      <c r="HQN52" s="24"/>
      <c r="HRE52" s="24"/>
      <c r="HRF52" s="24"/>
      <c r="HRW52" s="24"/>
      <c r="HRX52" s="24"/>
      <c r="HSO52" s="24"/>
      <c r="HSP52" s="24"/>
      <c r="HTG52" s="24"/>
      <c r="HTH52" s="24"/>
      <c r="HTY52" s="24"/>
      <c r="HTZ52" s="24"/>
      <c r="HUQ52" s="24"/>
      <c r="HUR52" s="24"/>
      <c r="HVI52" s="24"/>
      <c r="HVJ52" s="24"/>
      <c r="HWA52" s="24"/>
      <c r="HWB52" s="24"/>
      <c r="HWS52" s="24"/>
      <c r="HWT52" s="24"/>
      <c r="HXK52" s="24"/>
      <c r="HXL52" s="24"/>
      <c r="HYC52" s="24"/>
      <c r="HYD52" s="24"/>
      <c r="HYU52" s="24"/>
      <c r="HYV52" s="24"/>
      <c r="HZM52" s="24"/>
      <c r="HZN52" s="24"/>
      <c r="IAE52" s="24"/>
      <c r="IAF52" s="24"/>
      <c r="IAW52" s="24"/>
      <c r="IAX52" s="24"/>
      <c r="IBO52" s="24"/>
      <c r="IBP52" s="24"/>
      <c r="ICG52" s="24"/>
      <c r="ICH52" s="24"/>
      <c r="ICY52" s="24"/>
      <c r="ICZ52" s="24"/>
      <c r="IDQ52" s="24"/>
      <c r="IDR52" s="24"/>
      <c r="IEI52" s="24"/>
      <c r="IEJ52" s="24"/>
      <c r="IFA52" s="24"/>
      <c r="IFB52" s="24"/>
      <c r="IFS52" s="24"/>
      <c r="IFT52" s="24"/>
      <c r="IGK52" s="24"/>
      <c r="IGL52" s="24"/>
      <c r="IHC52" s="24"/>
      <c r="IHD52" s="24"/>
      <c r="IHU52" s="24"/>
      <c r="IHV52" s="24"/>
      <c r="IIM52" s="24"/>
      <c r="IIN52" s="24"/>
      <c r="IJE52" s="24"/>
      <c r="IJF52" s="24"/>
      <c r="IJW52" s="24"/>
      <c r="IJX52" s="24"/>
      <c r="IKO52" s="24"/>
      <c r="IKP52" s="24"/>
      <c r="ILG52" s="24"/>
      <c r="ILH52" s="24"/>
      <c r="ILY52" s="24"/>
      <c r="ILZ52" s="24"/>
      <c r="IMQ52" s="24"/>
      <c r="IMR52" s="24"/>
      <c r="INI52" s="24"/>
      <c r="INJ52" s="24"/>
      <c r="IOA52" s="24"/>
      <c r="IOB52" s="24"/>
      <c r="IOS52" s="24"/>
      <c r="IOT52" s="24"/>
      <c r="IPK52" s="24"/>
      <c r="IPL52" s="24"/>
      <c r="IQC52" s="24"/>
      <c r="IQD52" s="24"/>
      <c r="IQU52" s="24"/>
      <c r="IQV52" s="24"/>
      <c r="IRM52" s="24"/>
      <c r="IRN52" s="24"/>
      <c r="ISE52" s="24"/>
      <c r="ISF52" s="24"/>
      <c r="ISW52" s="24"/>
      <c r="ISX52" s="24"/>
      <c r="ITO52" s="24"/>
      <c r="ITP52" s="24"/>
      <c r="IUG52" s="24"/>
      <c r="IUH52" s="24"/>
      <c r="IUY52" s="24"/>
      <c r="IUZ52" s="24"/>
      <c r="IVQ52" s="24"/>
      <c r="IVR52" s="24"/>
      <c r="IWI52" s="24"/>
      <c r="IWJ52" s="24"/>
      <c r="IXA52" s="24"/>
      <c r="IXB52" s="24"/>
      <c r="IXS52" s="24"/>
      <c r="IXT52" s="24"/>
      <c r="IYK52" s="24"/>
      <c r="IYL52" s="24"/>
      <c r="IZC52" s="24"/>
      <c r="IZD52" s="24"/>
      <c r="IZU52" s="24"/>
      <c r="IZV52" s="24"/>
      <c r="JAM52" s="24"/>
      <c r="JAN52" s="24"/>
      <c r="JBE52" s="24"/>
      <c r="JBF52" s="24"/>
      <c r="JBW52" s="24"/>
      <c r="JBX52" s="24"/>
      <c r="JCO52" s="24"/>
      <c r="JCP52" s="24"/>
      <c r="JDG52" s="24"/>
      <c r="JDH52" s="24"/>
      <c r="JDY52" s="24"/>
      <c r="JDZ52" s="24"/>
      <c r="JEQ52" s="24"/>
      <c r="JER52" s="24"/>
      <c r="JFI52" s="24"/>
      <c r="JFJ52" s="24"/>
      <c r="JGA52" s="24"/>
      <c r="JGB52" s="24"/>
      <c r="JGS52" s="24"/>
      <c r="JGT52" s="24"/>
      <c r="JHK52" s="24"/>
      <c r="JHL52" s="24"/>
      <c r="JIC52" s="24"/>
      <c r="JID52" s="24"/>
      <c r="JIU52" s="24"/>
      <c r="JIV52" s="24"/>
      <c r="JJM52" s="24"/>
      <c r="JJN52" s="24"/>
      <c r="JKE52" s="24"/>
      <c r="JKF52" s="24"/>
      <c r="JKW52" s="24"/>
      <c r="JKX52" s="24"/>
      <c r="JLO52" s="24"/>
      <c r="JLP52" s="24"/>
      <c r="JMG52" s="24"/>
      <c r="JMH52" s="24"/>
      <c r="JMY52" s="24"/>
      <c r="JMZ52" s="24"/>
      <c r="JNQ52" s="24"/>
      <c r="JNR52" s="24"/>
      <c r="JOI52" s="24"/>
      <c r="JOJ52" s="24"/>
      <c r="JPA52" s="24"/>
      <c r="JPB52" s="24"/>
      <c r="JPS52" s="24"/>
      <c r="JPT52" s="24"/>
      <c r="JQK52" s="24"/>
      <c r="JQL52" s="24"/>
      <c r="JRC52" s="24"/>
      <c r="JRD52" s="24"/>
      <c r="JRU52" s="24"/>
      <c r="JRV52" s="24"/>
      <c r="JSM52" s="24"/>
      <c r="JSN52" s="24"/>
      <c r="JTE52" s="24"/>
      <c r="JTF52" s="24"/>
      <c r="JTW52" s="24"/>
      <c r="JTX52" s="24"/>
      <c r="JUO52" s="24"/>
      <c r="JUP52" s="24"/>
      <c r="JVG52" s="24"/>
      <c r="JVH52" s="24"/>
      <c r="JVY52" s="24"/>
      <c r="JVZ52" s="24"/>
      <c r="JWQ52" s="24"/>
      <c r="JWR52" s="24"/>
      <c r="JXI52" s="24"/>
      <c r="JXJ52" s="24"/>
      <c r="JYA52" s="24"/>
      <c r="JYB52" s="24"/>
      <c r="JYS52" s="24"/>
      <c r="JYT52" s="24"/>
      <c r="JZK52" s="24"/>
      <c r="JZL52" s="24"/>
      <c r="KAC52" s="24"/>
      <c r="KAD52" s="24"/>
      <c r="KAU52" s="24"/>
      <c r="KAV52" s="24"/>
      <c r="KBM52" s="24"/>
      <c r="KBN52" s="24"/>
      <c r="KCE52" s="24"/>
      <c r="KCF52" s="24"/>
      <c r="KCW52" s="24"/>
      <c r="KCX52" s="24"/>
      <c r="KDO52" s="24"/>
      <c r="KDP52" s="24"/>
      <c r="KEG52" s="24"/>
      <c r="KEH52" s="24"/>
      <c r="KEY52" s="24"/>
      <c r="KEZ52" s="24"/>
      <c r="KFQ52" s="24"/>
      <c r="KFR52" s="24"/>
      <c r="KGI52" s="24"/>
      <c r="KGJ52" s="24"/>
      <c r="KHA52" s="24"/>
      <c r="KHB52" s="24"/>
      <c r="KHS52" s="24"/>
      <c r="KHT52" s="24"/>
      <c r="KIK52" s="24"/>
      <c r="KIL52" s="24"/>
      <c r="KJC52" s="24"/>
      <c r="KJD52" s="24"/>
      <c r="KJU52" s="24"/>
      <c r="KJV52" s="24"/>
      <c r="KKM52" s="24"/>
      <c r="KKN52" s="24"/>
      <c r="KLE52" s="24"/>
      <c r="KLF52" s="24"/>
      <c r="KLW52" s="24"/>
      <c r="KLX52" s="24"/>
      <c r="KMO52" s="24"/>
      <c r="KMP52" s="24"/>
      <c r="KNG52" s="24"/>
      <c r="KNH52" s="24"/>
      <c r="KNY52" s="24"/>
      <c r="KNZ52" s="24"/>
      <c r="KOQ52" s="24"/>
      <c r="KOR52" s="24"/>
      <c r="KPI52" s="24"/>
      <c r="KPJ52" s="24"/>
      <c r="KQA52" s="24"/>
      <c r="KQB52" s="24"/>
      <c r="KQS52" s="24"/>
      <c r="KQT52" s="24"/>
      <c r="KRK52" s="24"/>
      <c r="KRL52" s="24"/>
      <c r="KSC52" s="24"/>
      <c r="KSD52" s="24"/>
      <c r="KSU52" s="24"/>
      <c r="KSV52" s="24"/>
      <c r="KTM52" s="24"/>
      <c r="KTN52" s="24"/>
      <c r="KUE52" s="24"/>
      <c r="KUF52" s="24"/>
      <c r="KUW52" s="24"/>
      <c r="KUX52" s="24"/>
      <c r="KVO52" s="24"/>
      <c r="KVP52" s="24"/>
      <c r="KWG52" s="24"/>
      <c r="KWH52" s="24"/>
      <c r="KWY52" s="24"/>
      <c r="KWZ52" s="24"/>
      <c r="KXQ52" s="24"/>
      <c r="KXR52" s="24"/>
      <c r="KYI52" s="24"/>
      <c r="KYJ52" s="24"/>
      <c r="KZA52" s="24"/>
      <c r="KZB52" s="24"/>
      <c r="KZS52" s="24"/>
      <c r="KZT52" s="24"/>
      <c r="LAK52" s="24"/>
      <c r="LAL52" s="24"/>
      <c r="LBC52" s="24"/>
      <c r="LBD52" s="24"/>
      <c r="LBU52" s="24"/>
      <c r="LBV52" s="24"/>
      <c r="LCM52" s="24"/>
      <c r="LCN52" s="24"/>
      <c r="LDE52" s="24"/>
      <c r="LDF52" s="24"/>
      <c r="LDW52" s="24"/>
      <c r="LDX52" s="24"/>
      <c r="LEO52" s="24"/>
      <c r="LEP52" s="24"/>
      <c r="LFG52" s="24"/>
      <c r="LFH52" s="24"/>
      <c r="LFY52" s="24"/>
      <c r="LFZ52" s="24"/>
      <c r="LGQ52" s="24"/>
      <c r="LGR52" s="24"/>
      <c r="LHI52" s="24"/>
      <c r="LHJ52" s="24"/>
      <c r="LIA52" s="24"/>
      <c r="LIB52" s="24"/>
      <c r="LIS52" s="24"/>
      <c r="LIT52" s="24"/>
      <c r="LJK52" s="24"/>
      <c r="LJL52" s="24"/>
      <c r="LKC52" s="24"/>
      <c r="LKD52" s="24"/>
      <c r="LKU52" s="24"/>
      <c r="LKV52" s="24"/>
      <c r="LLM52" s="24"/>
      <c r="LLN52" s="24"/>
      <c r="LME52" s="24"/>
      <c r="LMF52" s="24"/>
      <c r="LMW52" s="24"/>
      <c r="LMX52" s="24"/>
      <c r="LNO52" s="24"/>
      <c r="LNP52" s="24"/>
      <c r="LOG52" s="24"/>
      <c r="LOH52" s="24"/>
      <c r="LOY52" s="24"/>
      <c r="LOZ52" s="24"/>
      <c r="LPQ52" s="24"/>
      <c r="LPR52" s="24"/>
      <c r="LQI52" s="24"/>
      <c r="LQJ52" s="24"/>
      <c r="LRA52" s="24"/>
      <c r="LRB52" s="24"/>
      <c r="LRS52" s="24"/>
      <c r="LRT52" s="24"/>
      <c r="LSK52" s="24"/>
      <c r="LSL52" s="24"/>
      <c r="LTC52" s="24"/>
      <c r="LTD52" s="24"/>
      <c r="LTU52" s="24"/>
      <c r="LTV52" s="24"/>
      <c r="LUM52" s="24"/>
      <c r="LUN52" s="24"/>
      <c r="LVE52" s="24"/>
      <c r="LVF52" s="24"/>
      <c r="LVW52" s="24"/>
      <c r="LVX52" s="24"/>
      <c r="LWO52" s="24"/>
      <c r="LWP52" s="24"/>
      <c r="LXG52" s="24"/>
      <c r="LXH52" s="24"/>
      <c r="LXY52" s="24"/>
      <c r="LXZ52" s="24"/>
      <c r="LYQ52" s="24"/>
      <c r="LYR52" s="24"/>
      <c r="LZI52" s="24"/>
      <c r="LZJ52" s="24"/>
      <c r="MAA52" s="24"/>
      <c r="MAB52" s="24"/>
      <c r="MAS52" s="24"/>
      <c r="MAT52" s="24"/>
      <c r="MBK52" s="24"/>
      <c r="MBL52" s="24"/>
      <c r="MCC52" s="24"/>
      <c r="MCD52" s="24"/>
      <c r="MCU52" s="24"/>
      <c r="MCV52" s="24"/>
      <c r="MDM52" s="24"/>
      <c r="MDN52" s="24"/>
      <c r="MEE52" s="24"/>
      <c r="MEF52" s="24"/>
      <c r="MEW52" s="24"/>
      <c r="MEX52" s="24"/>
      <c r="MFO52" s="24"/>
      <c r="MFP52" s="24"/>
      <c r="MGG52" s="24"/>
      <c r="MGH52" s="24"/>
      <c r="MGY52" s="24"/>
      <c r="MGZ52" s="24"/>
      <c r="MHQ52" s="24"/>
      <c r="MHR52" s="24"/>
      <c r="MII52" s="24"/>
      <c r="MIJ52" s="24"/>
      <c r="MJA52" s="24"/>
      <c r="MJB52" s="24"/>
      <c r="MJS52" s="24"/>
      <c r="MJT52" s="24"/>
      <c r="MKK52" s="24"/>
      <c r="MKL52" s="24"/>
      <c r="MLC52" s="24"/>
      <c r="MLD52" s="24"/>
      <c r="MLU52" s="24"/>
      <c r="MLV52" s="24"/>
      <c r="MMM52" s="24"/>
      <c r="MMN52" s="24"/>
      <c r="MNE52" s="24"/>
      <c r="MNF52" s="24"/>
      <c r="MNW52" s="24"/>
      <c r="MNX52" s="24"/>
      <c r="MOO52" s="24"/>
      <c r="MOP52" s="24"/>
      <c r="MPG52" s="24"/>
      <c r="MPH52" s="24"/>
      <c r="MPY52" s="24"/>
      <c r="MPZ52" s="24"/>
      <c r="MQQ52" s="24"/>
      <c r="MQR52" s="24"/>
      <c r="MRI52" s="24"/>
      <c r="MRJ52" s="24"/>
      <c r="MSA52" s="24"/>
      <c r="MSB52" s="24"/>
      <c r="MSS52" s="24"/>
      <c r="MST52" s="24"/>
      <c r="MTK52" s="24"/>
      <c r="MTL52" s="24"/>
      <c r="MUC52" s="24"/>
      <c r="MUD52" s="24"/>
      <c r="MUU52" s="24"/>
      <c r="MUV52" s="24"/>
      <c r="MVM52" s="24"/>
      <c r="MVN52" s="24"/>
      <c r="MWE52" s="24"/>
      <c r="MWF52" s="24"/>
      <c r="MWW52" s="24"/>
      <c r="MWX52" s="24"/>
      <c r="MXO52" s="24"/>
      <c r="MXP52" s="24"/>
      <c r="MYG52" s="24"/>
      <c r="MYH52" s="24"/>
      <c r="MYY52" s="24"/>
      <c r="MYZ52" s="24"/>
      <c r="MZQ52" s="24"/>
      <c r="MZR52" s="24"/>
      <c r="NAI52" s="24"/>
      <c r="NAJ52" s="24"/>
      <c r="NBA52" s="24"/>
      <c r="NBB52" s="24"/>
      <c r="NBS52" s="24"/>
      <c r="NBT52" s="24"/>
      <c r="NCK52" s="24"/>
      <c r="NCL52" s="24"/>
      <c r="NDC52" s="24"/>
      <c r="NDD52" s="24"/>
      <c r="NDU52" s="24"/>
      <c r="NDV52" s="24"/>
      <c r="NEM52" s="24"/>
      <c r="NEN52" s="24"/>
      <c r="NFE52" s="24"/>
      <c r="NFF52" s="24"/>
      <c r="NFW52" s="24"/>
      <c r="NFX52" s="24"/>
      <c r="NGO52" s="24"/>
      <c r="NGP52" s="24"/>
      <c r="NHG52" s="24"/>
      <c r="NHH52" s="24"/>
      <c r="NHY52" s="24"/>
      <c r="NHZ52" s="24"/>
      <c r="NIQ52" s="24"/>
      <c r="NIR52" s="24"/>
      <c r="NJI52" s="24"/>
      <c r="NJJ52" s="24"/>
      <c r="NKA52" s="24"/>
      <c r="NKB52" s="24"/>
      <c r="NKS52" s="24"/>
      <c r="NKT52" s="24"/>
      <c r="NLK52" s="24"/>
      <c r="NLL52" s="24"/>
      <c r="NMC52" s="24"/>
      <c r="NMD52" s="24"/>
      <c r="NMU52" s="24"/>
      <c r="NMV52" s="24"/>
      <c r="NNM52" s="24"/>
      <c r="NNN52" s="24"/>
      <c r="NOE52" s="24"/>
      <c r="NOF52" s="24"/>
      <c r="NOW52" s="24"/>
      <c r="NOX52" s="24"/>
      <c r="NPO52" s="24"/>
      <c r="NPP52" s="24"/>
      <c r="NQG52" s="24"/>
      <c r="NQH52" s="24"/>
      <c r="NQY52" s="24"/>
      <c r="NQZ52" s="24"/>
      <c r="NRQ52" s="24"/>
      <c r="NRR52" s="24"/>
      <c r="NSI52" s="24"/>
      <c r="NSJ52" s="24"/>
      <c r="NTA52" s="24"/>
      <c r="NTB52" s="24"/>
      <c r="NTS52" s="24"/>
      <c r="NTT52" s="24"/>
      <c r="NUK52" s="24"/>
      <c r="NUL52" s="24"/>
      <c r="NVC52" s="24"/>
      <c r="NVD52" s="24"/>
      <c r="NVU52" s="24"/>
      <c r="NVV52" s="24"/>
      <c r="NWM52" s="24"/>
      <c r="NWN52" s="24"/>
      <c r="NXE52" s="24"/>
      <c r="NXF52" s="24"/>
      <c r="NXW52" s="24"/>
      <c r="NXX52" s="24"/>
      <c r="NYO52" s="24"/>
      <c r="NYP52" s="24"/>
      <c r="NZG52" s="24"/>
      <c r="NZH52" s="24"/>
      <c r="NZY52" s="24"/>
      <c r="NZZ52" s="24"/>
      <c r="OAQ52" s="24"/>
      <c r="OAR52" s="24"/>
      <c r="OBI52" s="24"/>
      <c r="OBJ52" s="24"/>
      <c r="OCA52" s="24"/>
      <c r="OCB52" s="24"/>
      <c r="OCS52" s="24"/>
      <c r="OCT52" s="24"/>
      <c r="ODK52" s="24"/>
      <c r="ODL52" s="24"/>
      <c r="OEC52" s="24"/>
      <c r="OED52" s="24"/>
      <c r="OEU52" s="24"/>
      <c r="OEV52" s="24"/>
      <c r="OFM52" s="24"/>
      <c r="OFN52" s="24"/>
      <c r="OGE52" s="24"/>
      <c r="OGF52" s="24"/>
      <c r="OGW52" s="24"/>
      <c r="OGX52" s="24"/>
      <c r="OHO52" s="24"/>
      <c r="OHP52" s="24"/>
      <c r="OIG52" s="24"/>
      <c r="OIH52" s="24"/>
      <c r="OIY52" s="24"/>
      <c r="OIZ52" s="24"/>
      <c r="OJQ52" s="24"/>
      <c r="OJR52" s="24"/>
      <c r="OKI52" s="24"/>
      <c r="OKJ52" s="24"/>
      <c r="OLA52" s="24"/>
      <c r="OLB52" s="24"/>
      <c r="OLS52" s="24"/>
      <c r="OLT52" s="24"/>
      <c r="OMK52" s="24"/>
      <c r="OML52" s="24"/>
      <c r="ONC52" s="24"/>
      <c r="OND52" s="24"/>
      <c r="ONU52" s="24"/>
      <c r="ONV52" s="24"/>
      <c r="OOM52" s="24"/>
      <c r="OON52" s="24"/>
      <c r="OPE52" s="24"/>
      <c r="OPF52" s="24"/>
      <c r="OPW52" s="24"/>
      <c r="OPX52" s="24"/>
      <c r="OQO52" s="24"/>
      <c r="OQP52" s="24"/>
      <c r="ORG52" s="24"/>
      <c r="ORH52" s="24"/>
      <c r="ORY52" s="24"/>
      <c r="ORZ52" s="24"/>
      <c r="OSQ52" s="24"/>
      <c r="OSR52" s="24"/>
      <c r="OTI52" s="24"/>
      <c r="OTJ52" s="24"/>
      <c r="OUA52" s="24"/>
      <c r="OUB52" s="24"/>
      <c r="OUS52" s="24"/>
      <c r="OUT52" s="24"/>
      <c r="OVK52" s="24"/>
      <c r="OVL52" s="24"/>
      <c r="OWC52" s="24"/>
      <c r="OWD52" s="24"/>
      <c r="OWU52" s="24"/>
      <c r="OWV52" s="24"/>
      <c r="OXM52" s="24"/>
      <c r="OXN52" s="24"/>
      <c r="OYE52" s="24"/>
      <c r="OYF52" s="24"/>
      <c r="OYW52" s="24"/>
      <c r="OYX52" s="24"/>
      <c r="OZO52" s="24"/>
      <c r="OZP52" s="24"/>
      <c r="PAG52" s="24"/>
      <c r="PAH52" s="24"/>
      <c r="PAY52" s="24"/>
      <c r="PAZ52" s="24"/>
      <c r="PBQ52" s="24"/>
      <c r="PBR52" s="24"/>
      <c r="PCI52" s="24"/>
      <c r="PCJ52" s="24"/>
      <c r="PDA52" s="24"/>
      <c r="PDB52" s="24"/>
      <c r="PDS52" s="24"/>
      <c r="PDT52" s="24"/>
      <c r="PEK52" s="24"/>
      <c r="PEL52" s="24"/>
      <c r="PFC52" s="24"/>
      <c r="PFD52" s="24"/>
      <c r="PFU52" s="24"/>
      <c r="PFV52" s="24"/>
      <c r="PGM52" s="24"/>
      <c r="PGN52" s="24"/>
      <c r="PHE52" s="24"/>
      <c r="PHF52" s="24"/>
      <c r="PHW52" s="24"/>
      <c r="PHX52" s="24"/>
      <c r="PIO52" s="24"/>
      <c r="PIP52" s="24"/>
      <c r="PJG52" s="24"/>
      <c r="PJH52" s="24"/>
      <c r="PJY52" s="24"/>
      <c r="PJZ52" s="24"/>
      <c r="PKQ52" s="24"/>
      <c r="PKR52" s="24"/>
      <c r="PLI52" s="24"/>
      <c r="PLJ52" s="24"/>
      <c r="PMA52" s="24"/>
      <c r="PMB52" s="24"/>
      <c r="PMS52" s="24"/>
      <c r="PMT52" s="24"/>
      <c r="PNK52" s="24"/>
      <c r="PNL52" s="24"/>
      <c r="POC52" s="24"/>
      <c r="POD52" s="24"/>
      <c r="POU52" s="24"/>
      <c r="POV52" s="24"/>
      <c r="PPM52" s="24"/>
      <c r="PPN52" s="24"/>
      <c r="PQE52" s="24"/>
      <c r="PQF52" s="24"/>
      <c r="PQW52" s="24"/>
      <c r="PQX52" s="24"/>
      <c r="PRO52" s="24"/>
      <c r="PRP52" s="24"/>
      <c r="PSG52" s="24"/>
      <c r="PSH52" s="24"/>
      <c r="PSY52" s="24"/>
      <c r="PSZ52" s="24"/>
      <c r="PTQ52" s="24"/>
      <c r="PTR52" s="24"/>
      <c r="PUI52" s="24"/>
      <c r="PUJ52" s="24"/>
      <c r="PVA52" s="24"/>
      <c r="PVB52" s="24"/>
      <c r="PVS52" s="24"/>
      <c r="PVT52" s="24"/>
      <c r="PWK52" s="24"/>
      <c r="PWL52" s="24"/>
      <c r="PXC52" s="24"/>
      <c r="PXD52" s="24"/>
      <c r="PXU52" s="24"/>
      <c r="PXV52" s="24"/>
      <c r="PYM52" s="24"/>
      <c r="PYN52" s="24"/>
      <c r="PZE52" s="24"/>
      <c r="PZF52" s="24"/>
      <c r="PZW52" s="24"/>
      <c r="PZX52" s="24"/>
      <c r="QAO52" s="24"/>
      <c r="QAP52" s="24"/>
      <c r="QBG52" s="24"/>
      <c r="QBH52" s="24"/>
      <c r="QBY52" s="24"/>
      <c r="QBZ52" s="24"/>
      <c r="QCQ52" s="24"/>
      <c r="QCR52" s="24"/>
      <c r="QDI52" s="24"/>
      <c r="QDJ52" s="24"/>
      <c r="QEA52" s="24"/>
      <c r="QEB52" s="24"/>
      <c r="QES52" s="24"/>
      <c r="QET52" s="24"/>
      <c r="QFK52" s="24"/>
      <c r="QFL52" s="24"/>
      <c r="QGC52" s="24"/>
      <c r="QGD52" s="24"/>
      <c r="QGU52" s="24"/>
      <c r="QGV52" s="24"/>
      <c r="QHM52" s="24"/>
      <c r="QHN52" s="24"/>
      <c r="QIE52" s="24"/>
      <c r="QIF52" s="24"/>
      <c r="QIW52" s="24"/>
      <c r="QIX52" s="24"/>
      <c r="QJO52" s="24"/>
      <c r="QJP52" s="24"/>
      <c r="QKG52" s="24"/>
      <c r="QKH52" s="24"/>
      <c r="QKY52" s="24"/>
      <c r="QKZ52" s="24"/>
      <c r="QLQ52" s="24"/>
      <c r="QLR52" s="24"/>
      <c r="QMI52" s="24"/>
      <c r="QMJ52" s="24"/>
      <c r="QNA52" s="24"/>
      <c r="QNB52" s="24"/>
      <c r="QNS52" s="24"/>
      <c r="QNT52" s="24"/>
      <c r="QOK52" s="24"/>
      <c r="QOL52" s="24"/>
      <c r="QPC52" s="24"/>
      <c r="QPD52" s="24"/>
      <c r="QPU52" s="24"/>
      <c r="QPV52" s="24"/>
      <c r="QQM52" s="24"/>
      <c r="QQN52" s="24"/>
      <c r="QRE52" s="24"/>
      <c r="QRF52" s="24"/>
      <c r="QRW52" s="24"/>
      <c r="QRX52" s="24"/>
      <c r="QSO52" s="24"/>
      <c r="QSP52" s="24"/>
      <c r="QTG52" s="24"/>
      <c r="QTH52" s="24"/>
      <c r="QTY52" s="24"/>
      <c r="QTZ52" s="24"/>
      <c r="QUQ52" s="24"/>
      <c r="QUR52" s="24"/>
      <c r="QVI52" s="24"/>
      <c r="QVJ52" s="24"/>
      <c r="QWA52" s="24"/>
      <c r="QWB52" s="24"/>
      <c r="QWS52" s="24"/>
      <c r="QWT52" s="24"/>
      <c r="QXK52" s="24"/>
      <c r="QXL52" s="24"/>
      <c r="QYC52" s="24"/>
      <c r="QYD52" s="24"/>
      <c r="QYU52" s="24"/>
      <c r="QYV52" s="24"/>
      <c r="QZM52" s="24"/>
      <c r="QZN52" s="24"/>
      <c r="RAE52" s="24"/>
      <c r="RAF52" s="24"/>
      <c r="RAW52" s="24"/>
      <c r="RAX52" s="24"/>
      <c r="RBO52" s="24"/>
      <c r="RBP52" s="24"/>
      <c r="RCG52" s="24"/>
      <c r="RCH52" s="24"/>
      <c r="RCY52" s="24"/>
      <c r="RCZ52" s="24"/>
      <c r="RDQ52" s="24"/>
      <c r="RDR52" s="24"/>
      <c r="REI52" s="24"/>
      <c r="REJ52" s="24"/>
      <c r="RFA52" s="24"/>
      <c r="RFB52" s="24"/>
      <c r="RFS52" s="24"/>
      <c r="RFT52" s="24"/>
      <c r="RGK52" s="24"/>
      <c r="RGL52" s="24"/>
      <c r="RHC52" s="24"/>
      <c r="RHD52" s="24"/>
      <c r="RHU52" s="24"/>
      <c r="RHV52" s="24"/>
      <c r="RIM52" s="24"/>
      <c r="RIN52" s="24"/>
      <c r="RJE52" s="24"/>
      <c r="RJF52" s="24"/>
      <c r="RJW52" s="24"/>
      <c r="RJX52" s="24"/>
      <c r="RKO52" s="24"/>
      <c r="RKP52" s="24"/>
      <c r="RLG52" s="24"/>
      <c r="RLH52" s="24"/>
      <c r="RLY52" s="24"/>
      <c r="RLZ52" s="24"/>
      <c r="RMQ52" s="24"/>
      <c r="RMR52" s="24"/>
      <c r="RNI52" s="24"/>
      <c r="RNJ52" s="24"/>
      <c r="ROA52" s="24"/>
      <c r="ROB52" s="24"/>
      <c r="ROS52" s="24"/>
      <c r="ROT52" s="24"/>
      <c r="RPK52" s="24"/>
      <c r="RPL52" s="24"/>
      <c r="RQC52" s="24"/>
      <c r="RQD52" s="24"/>
      <c r="RQU52" s="24"/>
      <c r="RQV52" s="24"/>
      <c r="RRM52" s="24"/>
      <c r="RRN52" s="24"/>
      <c r="RSE52" s="24"/>
      <c r="RSF52" s="24"/>
      <c r="RSW52" s="24"/>
      <c r="RSX52" s="24"/>
      <c r="RTO52" s="24"/>
      <c r="RTP52" s="24"/>
      <c r="RUG52" s="24"/>
      <c r="RUH52" s="24"/>
      <c r="RUY52" s="24"/>
      <c r="RUZ52" s="24"/>
      <c r="RVQ52" s="24"/>
      <c r="RVR52" s="24"/>
      <c r="RWI52" s="24"/>
      <c r="RWJ52" s="24"/>
      <c r="RXA52" s="24"/>
      <c r="RXB52" s="24"/>
      <c r="RXS52" s="24"/>
      <c r="RXT52" s="24"/>
      <c r="RYK52" s="24"/>
      <c r="RYL52" s="24"/>
      <c r="RZC52" s="24"/>
      <c r="RZD52" s="24"/>
      <c r="RZU52" s="24"/>
      <c r="RZV52" s="24"/>
      <c r="SAM52" s="24"/>
      <c r="SAN52" s="24"/>
      <c r="SBE52" s="24"/>
      <c r="SBF52" s="24"/>
      <c r="SBW52" s="24"/>
      <c r="SBX52" s="24"/>
      <c r="SCO52" s="24"/>
      <c r="SCP52" s="24"/>
      <c r="SDG52" s="24"/>
      <c r="SDH52" s="24"/>
      <c r="SDY52" s="24"/>
      <c r="SDZ52" s="24"/>
      <c r="SEQ52" s="24"/>
      <c r="SER52" s="24"/>
      <c r="SFI52" s="24"/>
      <c r="SFJ52" s="24"/>
      <c r="SGA52" s="24"/>
      <c r="SGB52" s="24"/>
      <c r="SGS52" s="24"/>
      <c r="SGT52" s="24"/>
      <c r="SHK52" s="24"/>
      <c r="SHL52" s="24"/>
      <c r="SIC52" s="24"/>
      <c r="SID52" s="24"/>
      <c r="SIU52" s="24"/>
      <c r="SIV52" s="24"/>
      <c r="SJM52" s="24"/>
      <c r="SJN52" s="24"/>
      <c r="SKE52" s="24"/>
      <c r="SKF52" s="24"/>
      <c r="SKW52" s="24"/>
      <c r="SKX52" s="24"/>
      <c r="SLO52" s="24"/>
      <c r="SLP52" s="24"/>
      <c r="SMG52" s="24"/>
      <c r="SMH52" s="24"/>
      <c r="SMY52" s="24"/>
      <c r="SMZ52" s="24"/>
      <c r="SNQ52" s="24"/>
      <c r="SNR52" s="24"/>
      <c r="SOI52" s="24"/>
      <c r="SOJ52" s="24"/>
      <c r="SPA52" s="24"/>
      <c r="SPB52" s="24"/>
      <c r="SPS52" s="24"/>
      <c r="SPT52" s="24"/>
      <c r="SQK52" s="24"/>
      <c r="SQL52" s="24"/>
      <c r="SRC52" s="24"/>
      <c r="SRD52" s="24"/>
      <c r="SRU52" s="24"/>
      <c r="SRV52" s="24"/>
      <c r="SSM52" s="24"/>
      <c r="SSN52" s="24"/>
      <c r="STE52" s="24"/>
      <c r="STF52" s="24"/>
      <c r="STW52" s="24"/>
      <c r="STX52" s="24"/>
      <c r="SUO52" s="24"/>
      <c r="SUP52" s="24"/>
      <c r="SVG52" s="24"/>
      <c r="SVH52" s="24"/>
      <c r="SVY52" s="24"/>
      <c r="SVZ52" s="24"/>
      <c r="SWQ52" s="24"/>
      <c r="SWR52" s="24"/>
      <c r="SXI52" s="24"/>
      <c r="SXJ52" s="24"/>
      <c r="SYA52" s="24"/>
      <c r="SYB52" s="24"/>
      <c r="SYS52" s="24"/>
      <c r="SYT52" s="24"/>
      <c r="SZK52" s="24"/>
      <c r="SZL52" s="24"/>
      <c r="TAC52" s="24"/>
      <c r="TAD52" s="24"/>
      <c r="TAU52" s="24"/>
      <c r="TAV52" s="24"/>
      <c r="TBM52" s="24"/>
      <c r="TBN52" s="24"/>
      <c r="TCE52" s="24"/>
      <c r="TCF52" s="24"/>
      <c r="TCW52" s="24"/>
      <c r="TCX52" s="24"/>
      <c r="TDO52" s="24"/>
      <c r="TDP52" s="24"/>
      <c r="TEG52" s="24"/>
      <c r="TEH52" s="24"/>
      <c r="TEY52" s="24"/>
      <c r="TEZ52" s="24"/>
      <c r="TFQ52" s="24"/>
      <c r="TFR52" s="24"/>
      <c r="TGI52" s="24"/>
      <c r="TGJ52" s="24"/>
      <c r="THA52" s="24"/>
      <c r="THB52" s="24"/>
      <c r="THS52" s="24"/>
      <c r="THT52" s="24"/>
      <c r="TIK52" s="24"/>
      <c r="TIL52" s="24"/>
      <c r="TJC52" s="24"/>
      <c r="TJD52" s="24"/>
      <c r="TJU52" s="24"/>
      <c r="TJV52" s="24"/>
      <c r="TKM52" s="24"/>
      <c r="TKN52" s="24"/>
      <c r="TLE52" s="24"/>
      <c r="TLF52" s="24"/>
      <c r="TLW52" s="24"/>
      <c r="TLX52" s="24"/>
      <c r="TMO52" s="24"/>
      <c r="TMP52" s="24"/>
      <c r="TNG52" s="24"/>
      <c r="TNH52" s="24"/>
      <c r="TNY52" s="24"/>
      <c r="TNZ52" s="24"/>
      <c r="TOQ52" s="24"/>
      <c r="TOR52" s="24"/>
      <c r="TPI52" s="24"/>
      <c r="TPJ52" s="24"/>
      <c r="TQA52" s="24"/>
      <c r="TQB52" s="24"/>
      <c r="TQS52" s="24"/>
      <c r="TQT52" s="24"/>
      <c r="TRK52" s="24"/>
      <c r="TRL52" s="24"/>
      <c r="TSC52" s="24"/>
      <c r="TSD52" s="24"/>
      <c r="TSU52" s="24"/>
      <c r="TSV52" s="24"/>
      <c r="TTM52" s="24"/>
      <c r="TTN52" s="24"/>
      <c r="TUE52" s="24"/>
      <c r="TUF52" s="24"/>
      <c r="TUW52" s="24"/>
      <c r="TUX52" s="24"/>
      <c r="TVO52" s="24"/>
      <c r="TVP52" s="24"/>
      <c r="TWG52" s="24"/>
      <c r="TWH52" s="24"/>
      <c r="TWY52" s="24"/>
      <c r="TWZ52" s="24"/>
      <c r="TXQ52" s="24"/>
      <c r="TXR52" s="24"/>
      <c r="TYI52" s="24"/>
      <c r="TYJ52" s="24"/>
      <c r="TZA52" s="24"/>
      <c r="TZB52" s="24"/>
      <c r="TZS52" s="24"/>
      <c r="TZT52" s="24"/>
      <c r="UAK52" s="24"/>
      <c r="UAL52" s="24"/>
      <c r="UBC52" s="24"/>
      <c r="UBD52" s="24"/>
      <c r="UBU52" s="24"/>
      <c r="UBV52" s="24"/>
      <c r="UCM52" s="24"/>
      <c r="UCN52" s="24"/>
      <c r="UDE52" s="24"/>
      <c r="UDF52" s="24"/>
      <c r="UDW52" s="24"/>
      <c r="UDX52" s="24"/>
      <c r="UEO52" s="24"/>
      <c r="UEP52" s="24"/>
      <c r="UFG52" s="24"/>
      <c r="UFH52" s="24"/>
      <c r="UFY52" s="24"/>
      <c r="UFZ52" s="24"/>
      <c r="UGQ52" s="24"/>
      <c r="UGR52" s="24"/>
      <c r="UHI52" s="24"/>
      <c r="UHJ52" s="24"/>
      <c r="UIA52" s="24"/>
      <c r="UIB52" s="24"/>
      <c r="UIS52" s="24"/>
      <c r="UIT52" s="24"/>
      <c r="UJK52" s="24"/>
      <c r="UJL52" s="24"/>
      <c r="UKC52" s="24"/>
      <c r="UKD52" s="24"/>
      <c r="UKU52" s="24"/>
      <c r="UKV52" s="24"/>
      <c r="ULM52" s="24"/>
      <c r="ULN52" s="24"/>
      <c r="UME52" s="24"/>
      <c r="UMF52" s="24"/>
      <c r="UMW52" s="24"/>
      <c r="UMX52" s="24"/>
      <c r="UNO52" s="24"/>
      <c r="UNP52" s="24"/>
      <c r="UOG52" s="24"/>
      <c r="UOH52" s="24"/>
      <c r="UOY52" s="24"/>
      <c r="UOZ52" s="24"/>
      <c r="UPQ52" s="24"/>
      <c r="UPR52" s="24"/>
      <c r="UQI52" s="24"/>
      <c r="UQJ52" s="24"/>
      <c r="URA52" s="24"/>
      <c r="URB52" s="24"/>
      <c r="URS52" s="24"/>
      <c r="URT52" s="24"/>
      <c r="USK52" s="24"/>
      <c r="USL52" s="24"/>
      <c r="UTC52" s="24"/>
      <c r="UTD52" s="24"/>
      <c r="UTU52" s="24"/>
      <c r="UTV52" s="24"/>
      <c r="UUM52" s="24"/>
      <c r="UUN52" s="24"/>
      <c r="UVE52" s="24"/>
      <c r="UVF52" s="24"/>
      <c r="UVW52" s="24"/>
      <c r="UVX52" s="24"/>
      <c r="UWO52" s="24"/>
      <c r="UWP52" s="24"/>
      <c r="UXG52" s="24"/>
      <c r="UXH52" s="24"/>
      <c r="UXY52" s="24"/>
      <c r="UXZ52" s="24"/>
      <c r="UYQ52" s="24"/>
      <c r="UYR52" s="24"/>
      <c r="UZI52" s="24"/>
      <c r="UZJ52" s="24"/>
      <c r="VAA52" s="24"/>
      <c r="VAB52" s="24"/>
      <c r="VAS52" s="24"/>
      <c r="VAT52" s="24"/>
      <c r="VBK52" s="24"/>
      <c r="VBL52" s="24"/>
      <c r="VCC52" s="24"/>
      <c r="VCD52" s="24"/>
      <c r="VCU52" s="24"/>
      <c r="VCV52" s="24"/>
      <c r="VDM52" s="24"/>
      <c r="VDN52" s="24"/>
      <c r="VEE52" s="24"/>
      <c r="VEF52" s="24"/>
      <c r="VEW52" s="24"/>
      <c r="VEX52" s="24"/>
      <c r="VFO52" s="24"/>
      <c r="VFP52" s="24"/>
      <c r="VGG52" s="24"/>
      <c r="VGH52" s="24"/>
      <c r="VGY52" s="24"/>
      <c r="VGZ52" s="24"/>
      <c r="VHQ52" s="24"/>
      <c r="VHR52" s="24"/>
      <c r="VII52" s="24"/>
      <c r="VIJ52" s="24"/>
      <c r="VJA52" s="24"/>
      <c r="VJB52" s="24"/>
      <c r="VJS52" s="24"/>
      <c r="VJT52" s="24"/>
      <c r="VKK52" s="24"/>
      <c r="VKL52" s="24"/>
      <c r="VLC52" s="24"/>
      <c r="VLD52" s="24"/>
      <c r="VLU52" s="24"/>
      <c r="VLV52" s="24"/>
      <c r="VMM52" s="24"/>
      <c r="VMN52" s="24"/>
      <c r="VNE52" s="24"/>
      <c r="VNF52" s="24"/>
      <c r="VNW52" s="24"/>
      <c r="VNX52" s="24"/>
      <c r="VOO52" s="24"/>
      <c r="VOP52" s="24"/>
      <c r="VPG52" s="24"/>
      <c r="VPH52" s="24"/>
      <c r="VPY52" s="24"/>
      <c r="VPZ52" s="24"/>
      <c r="VQQ52" s="24"/>
      <c r="VQR52" s="24"/>
      <c r="VRI52" s="24"/>
      <c r="VRJ52" s="24"/>
      <c r="VSA52" s="24"/>
      <c r="VSB52" s="24"/>
      <c r="VSS52" s="24"/>
      <c r="VST52" s="24"/>
      <c r="VTK52" s="24"/>
      <c r="VTL52" s="24"/>
      <c r="VUC52" s="24"/>
      <c r="VUD52" s="24"/>
      <c r="VUU52" s="24"/>
      <c r="VUV52" s="24"/>
      <c r="VVM52" s="24"/>
      <c r="VVN52" s="24"/>
      <c r="VWE52" s="24"/>
      <c r="VWF52" s="24"/>
      <c r="VWW52" s="24"/>
      <c r="VWX52" s="24"/>
      <c r="VXO52" s="24"/>
      <c r="VXP52" s="24"/>
      <c r="VYG52" s="24"/>
      <c r="VYH52" s="24"/>
      <c r="VYY52" s="24"/>
      <c r="VYZ52" s="24"/>
      <c r="VZQ52" s="24"/>
      <c r="VZR52" s="24"/>
      <c r="WAI52" s="24"/>
      <c r="WAJ52" s="24"/>
      <c r="WBA52" s="24"/>
      <c r="WBB52" s="24"/>
      <c r="WBS52" s="24"/>
      <c r="WBT52" s="24"/>
      <c r="WCK52" s="24"/>
      <c r="WCL52" s="24"/>
      <c r="WDC52" s="24"/>
      <c r="WDD52" s="24"/>
      <c r="WDU52" s="24"/>
      <c r="WDV52" s="24"/>
      <c r="WEM52" s="24"/>
      <c r="WEN52" s="24"/>
      <c r="WFE52" s="24"/>
      <c r="WFF52" s="24"/>
      <c r="WFW52" s="24"/>
      <c r="WFX52" s="24"/>
      <c r="WGO52" s="24"/>
      <c r="WGP52" s="24"/>
      <c r="WHG52" s="24"/>
      <c r="WHH52" s="24"/>
      <c r="WHY52" s="24"/>
      <c r="WHZ52" s="24"/>
      <c r="WIQ52" s="24"/>
      <c r="WIR52" s="24"/>
      <c r="WJI52" s="24"/>
      <c r="WJJ52" s="24"/>
      <c r="WKA52" s="24"/>
      <c r="WKB52" s="24"/>
      <c r="WKS52" s="24"/>
      <c r="WKT52" s="24"/>
      <c r="WLK52" s="24"/>
      <c r="WLL52" s="24"/>
      <c r="WMC52" s="24"/>
      <c r="WMD52" s="24"/>
      <c r="WMU52" s="24"/>
      <c r="WMV52" s="24"/>
      <c r="WNM52" s="24"/>
      <c r="WNN52" s="24"/>
      <c r="WOE52" s="24"/>
      <c r="WOF52" s="24"/>
      <c r="WOW52" s="24"/>
      <c r="WOX52" s="24"/>
      <c r="WPO52" s="24"/>
      <c r="WPP52" s="24"/>
      <c r="WQG52" s="24"/>
      <c r="WQH52" s="24"/>
      <c r="WQY52" s="24"/>
      <c r="WQZ52" s="24"/>
      <c r="WRQ52" s="24"/>
      <c r="WRR52" s="24"/>
      <c r="WSI52" s="24"/>
      <c r="WSJ52" s="24"/>
      <c r="WTA52" s="24"/>
      <c r="WTB52" s="24"/>
      <c r="WTS52" s="24"/>
      <c r="WTT52" s="24"/>
      <c r="WUK52" s="24"/>
      <c r="WUL52" s="24"/>
      <c r="WVC52" s="24"/>
      <c r="WVD52" s="24"/>
      <c r="WVU52" s="24"/>
      <c r="WVV52" s="24"/>
      <c r="WWM52" s="24"/>
      <c r="WWN52" s="24"/>
      <c r="WXE52" s="24"/>
      <c r="WXF52" s="24"/>
      <c r="WXW52" s="24"/>
      <c r="WXX52" s="24"/>
      <c r="WYO52" s="24"/>
      <c r="WYP52" s="24"/>
      <c r="WZG52" s="24"/>
      <c r="WZH52" s="24"/>
      <c r="WZY52" s="24"/>
      <c r="WZZ52" s="24"/>
      <c r="XAQ52" s="24"/>
      <c r="XAR52" s="24"/>
      <c r="XBI52" s="24"/>
      <c r="XBJ52" s="24"/>
      <c r="XCA52" s="24"/>
      <c r="XCB52" s="24"/>
      <c r="XCS52" s="24"/>
      <c r="XCT52" s="24"/>
      <c r="XDK52" s="24"/>
      <c r="XDL52" s="24"/>
      <c r="XEC52" s="24"/>
      <c r="XED52" s="24"/>
      <c r="XEU52" s="24"/>
      <c r="XEV52" s="24"/>
    </row>
    <row r="53" spans="1:1022 1039:2048 2065:3056 3073:4082 4099:5108 5125:6134 6151:7160 7177:8186 8203:9212 9229:10238 10255:11264 11281:12272 12289:13298 13315:14324 14341:15350 15367:16376">
      <c r="A53" s="23"/>
      <c r="B53" s="23"/>
      <c r="C53" s="23"/>
      <c r="D53" s="23"/>
      <c r="E53" s="23"/>
      <c r="I53" s="23"/>
      <c r="J53" s="23"/>
    </row>
    <row r="54" spans="1:1022 1039:2048 2065:3056 3073:4082 4099:5108 5125:6134 6151:7160 7177:8186 8203:9212 9229:10238 10255:11264 11281:12272 12289:13298 13315:14324 14341:15350 15367:16376" ht="36">
      <c r="A54" s="33" t="s">
        <v>23</v>
      </c>
      <c r="B54" s="33" t="s">
        <v>24</v>
      </c>
      <c r="C54" s="34" t="s">
        <v>25</v>
      </c>
      <c r="D54" s="12" t="s">
        <v>26</v>
      </c>
      <c r="E54" s="12" t="s">
        <v>10</v>
      </c>
      <c r="F54" s="12" t="s">
        <v>27</v>
      </c>
      <c r="G54" s="12" t="s">
        <v>28</v>
      </c>
      <c r="H54" s="12" t="s">
        <v>29</v>
      </c>
      <c r="I54" s="12" t="s">
        <v>30</v>
      </c>
      <c r="J54" s="12" t="s">
        <v>31</v>
      </c>
      <c r="K54" s="12" t="s">
        <v>32</v>
      </c>
      <c r="L54" s="12" t="s">
        <v>33</v>
      </c>
      <c r="M54" s="12" t="s">
        <v>32</v>
      </c>
      <c r="N54" s="35"/>
    </row>
    <row r="55" spans="1:1022 1039:2048 2065:3056 3073:4082 4099:5108 5125:6134 6151:7160 7177:8186 8203:9212 9229:10238 10255:11264 11281:12272 12289:13298 13315:14324 14341:15350 15367:16376" ht="15" customHeight="1">
      <c r="A55" s="167" t="s">
        <v>73</v>
      </c>
      <c r="B55" s="122">
        <v>2401.9885249999998</v>
      </c>
      <c r="C55" s="119">
        <v>3</v>
      </c>
      <c r="D55" s="153">
        <v>80.702200000000005</v>
      </c>
      <c r="E55" s="154">
        <v>747.16125</v>
      </c>
      <c r="F55" s="149">
        <v>13.0763</v>
      </c>
      <c r="G55" s="149">
        <v>0</v>
      </c>
      <c r="H55" s="149">
        <v>2.1192000000000002</v>
      </c>
      <c r="I55" s="149">
        <v>0.504</v>
      </c>
      <c r="J55" s="38">
        <f t="shared" ref="J55:J61" si="11">$A$6*E55/$B$55</f>
        <v>0.22178539393730035</v>
      </c>
      <c r="K55" s="82">
        <f>IF(OR(M55=O55,O55=0),O55, ROUND(O55/50,0)*50)</f>
        <v>0</v>
      </c>
      <c r="L55" s="40">
        <f>J55*K55/0.93/1000</f>
        <v>0</v>
      </c>
      <c r="M55" s="157">
        <v>1919.4</v>
      </c>
      <c r="N55" s="41"/>
      <c r="O55" s="79">
        <f>'Organized Data'!L16</f>
        <v>0</v>
      </c>
    </row>
    <row r="56" spans="1:1022 1039:2048 2065:3056 3073:4082 4099:5108 5125:6134 6151:7160 7177:8186 8203:9212 9229:10238 10255:11264 11281:12272 12289:13298 13315:14324 14341:15350 15367:16376" ht="15">
      <c r="A56" s="168"/>
      <c r="B56" s="125"/>
      <c r="C56" s="119">
        <v>4</v>
      </c>
      <c r="D56" s="153">
        <v>93.944699999999997</v>
      </c>
      <c r="E56" s="154">
        <v>2679.2785600000002</v>
      </c>
      <c r="F56" s="149">
        <v>4.7046999999999999</v>
      </c>
      <c r="G56" s="149">
        <v>0</v>
      </c>
      <c r="H56" s="149">
        <v>0.57350000000000001</v>
      </c>
      <c r="I56" s="149">
        <v>0.59319999999999995</v>
      </c>
      <c r="J56" s="38">
        <f t="shared" si="11"/>
        <v>0.79531004973472974</v>
      </c>
      <c r="K56" s="82">
        <f t="shared" ref="K56:K61" si="12">IF(OR(M56=O56,O56=0),O56, ROUND(O56/50,0)*50)</f>
        <v>1893.2</v>
      </c>
      <c r="L56" s="40">
        <f t="shared" ref="L56:L61" si="13">J56*K56/0.93/1000</f>
        <v>1.6190118130728928</v>
      </c>
      <c r="M56" s="157">
        <v>1893.2</v>
      </c>
      <c r="N56" s="41"/>
      <c r="O56" s="79">
        <f>'Organized Data'!L17</f>
        <v>1893.2</v>
      </c>
    </row>
    <row r="57" spans="1:1022 1039:2048 2065:3056 3073:4082 4099:5108 5125:6134 6151:7160 7177:8186 8203:9212 9229:10238 10255:11264 11281:12272 12289:13298 13315:14324 14341:15350 15367:16376" ht="15">
      <c r="A57" s="168"/>
      <c r="B57" s="123"/>
      <c r="C57" s="119">
        <v>5</v>
      </c>
      <c r="D57" s="153">
        <v>96.251199999999997</v>
      </c>
      <c r="E57" s="154">
        <v>3405.6784699999998</v>
      </c>
      <c r="F57" s="149">
        <v>1.4407000000000001</v>
      </c>
      <c r="G57" s="149">
        <v>0</v>
      </c>
      <c r="H57" s="149">
        <v>0.39090000000000003</v>
      </c>
      <c r="I57" s="149">
        <v>1.8222</v>
      </c>
      <c r="J57" s="38">
        <f t="shared" si="11"/>
        <v>1.0109327017330358</v>
      </c>
      <c r="K57" s="82">
        <f t="shared" si="12"/>
        <v>0</v>
      </c>
      <c r="L57" s="40">
        <f t="shared" si="13"/>
        <v>0</v>
      </c>
      <c r="M57" s="157">
        <v>1908.4</v>
      </c>
      <c r="N57" s="41"/>
      <c r="O57" s="79">
        <f>'Organized Data'!L18</f>
        <v>0</v>
      </c>
    </row>
    <row r="58" spans="1:1022 1039:2048 2065:3056 3073:4082 4099:5108 5125:6134 6151:7160 7177:8186 8203:9212 9229:10238 10255:11264 11281:12272 12289:13298 13315:14324 14341:15350 15367:16376" ht="15">
      <c r="A58" s="168"/>
      <c r="B58" s="123"/>
      <c r="C58" s="119">
        <v>6</v>
      </c>
      <c r="D58" s="153">
        <v>95.958299999999994</v>
      </c>
      <c r="E58" s="154">
        <v>1090.8175000000001</v>
      </c>
      <c r="F58" s="149">
        <v>3.0802</v>
      </c>
      <c r="G58" s="149">
        <v>0</v>
      </c>
      <c r="H58" s="149">
        <v>0</v>
      </c>
      <c r="I58" s="149">
        <v>0.96150000000000002</v>
      </c>
      <c r="J58" s="38">
        <f t="shared" si="11"/>
        <v>0.323795417590515</v>
      </c>
      <c r="K58" s="82">
        <f t="shared" si="12"/>
        <v>0</v>
      </c>
      <c r="L58" s="40">
        <f t="shared" si="13"/>
        <v>0</v>
      </c>
      <c r="M58" s="157">
        <v>1904.1</v>
      </c>
      <c r="N58" s="41"/>
      <c r="O58" s="79">
        <f>'Organized Data'!L19</f>
        <v>0</v>
      </c>
    </row>
    <row r="59" spans="1:1022 1039:2048 2065:3056 3073:4082 4099:5108 5125:6134 6151:7160 7177:8186 8203:9212 9229:10238 10255:11264 11281:12272 12289:13298 13315:14324 14341:15350 15367:16376" ht="15">
      <c r="A59" s="168"/>
      <c r="B59" s="123"/>
      <c r="C59" s="119">
        <v>7</v>
      </c>
      <c r="D59" s="153">
        <v>97.572699999999998</v>
      </c>
      <c r="E59" s="154">
        <v>1913.5904499999999</v>
      </c>
      <c r="F59" s="149">
        <v>1.39</v>
      </c>
      <c r="G59" s="149">
        <v>0</v>
      </c>
      <c r="H59" s="149">
        <v>0</v>
      </c>
      <c r="I59" s="149">
        <v>1.0373000000000001</v>
      </c>
      <c r="J59" s="38">
        <f t="shared" si="11"/>
        <v>0.56802519106539029</v>
      </c>
      <c r="K59" s="82">
        <f t="shared" si="12"/>
        <v>1887.8</v>
      </c>
      <c r="L59" s="40">
        <f t="shared" si="13"/>
        <v>1.1530300598852081</v>
      </c>
      <c r="M59" s="157">
        <v>1887.8</v>
      </c>
      <c r="N59" s="41"/>
      <c r="O59" s="79">
        <f>'Organized Data'!L20</f>
        <v>1887.8</v>
      </c>
    </row>
    <row r="60" spans="1:1022 1039:2048 2065:3056 3073:4082 4099:5108 5125:6134 6151:7160 7177:8186 8203:9212 9229:10238 10255:11264 11281:12272 12289:13298 13315:14324 14341:15350 15367:16376" ht="15">
      <c r="A60" s="168"/>
      <c r="B60" s="123"/>
      <c r="C60" s="119">
        <v>8</v>
      </c>
      <c r="D60" s="153">
        <v>88.561999999999998</v>
      </c>
      <c r="E60" s="154">
        <v>2201.6672400000002</v>
      </c>
      <c r="F60" s="149">
        <v>0.38450000000000001</v>
      </c>
      <c r="G60" s="149">
        <v>1.2665</v>
      </c>
      <c r="H60" s="149">
        <v>2.0743999999999998</v>
      </c>
      <c r="I60" s="149">
        <v>4.4859</v>
      </c>
      <c r="J60" s="38">
        <f t="shared" si="11"/>
        <v>0.65353715298036252</v>
      </c>
      <c r="K60" s="82">
        <f t="shared" si="12"/>
        <v>1928.8</v>
      </c>
      <c r="L60" s="40">
        <f>J60*K60/0.93/1000</f>
        <v>1.3554220007188422</v>
      </c>
      <c r="M60" s="157">
        <v>1928.8</v>
      </c>
      <c r="N60" s="41"/>
      <c r="O60" s="79">
        <f>'Organized Data'!L21</f>
        <v>1928.8</v>
      </c>
    </row>
    <row r="61" spans="1:1022 1039:2048 2065:3056 3073:4082 4099:5108 5125:6134 6151:7160 7177:8186 8203:9212 9229:10238 10255:11264 11281:12272 12289:13298 13315:14324 14341:15350 15367:16376" ht="15">
      <c r="A61" s="168"/>
      <c r="B61" s="124"/>
      <c r="C61" s="119">
        <v>9</v>
      </c>
      <c r="D61" s="153">
        <v>84.5304</v>
      </c>
      <c r="E61" s="154">
        <v>223.16460000000001</v>
      </c>
      <c r="F61" s="149">
        <v>0</v>
      </c>
      <c r="G61" s="149">
        <v>2.6884000000000001</v>
      </c>
      <c r="H61" s="149">
        <v>3.1819999999999999</v>
      </c>
      <c r="I61" s="149">
        <v>6.3710000000000004</v>
      </c>
      <c r="J61" s="38">
        <f t="shared" si="11"/>
        <v>6.6243596979714964E-2</v>
      </c>
      <c r="K61" s="82">
        <f t="shared" si="12"/>
        <v>0</v>
      </c>
      <c r="L61" s="40">
        <f t="shared" si="13"/>
        <v>0</v>
      </c>
      <c r="M61" s="157">
        <v>2077.8000000000002</v>
      </c>
      <c r="N61" s="41"/>
      <c r="O61" s="79">
        <f>'Organized Data'!L22</f>
        <v>0</v>
      </c>
    </row>
    <row r="62" spans="1:1022 1039:2048 2065:3056 3073:4082 4099:5108 5125:6134 6151:7160 7177:8186 8203:9212 9229:10238 10255:11264 11281:12272 12289:13298 13315:14324 14341:15350 15367:16376" ht="12" customHeight="1">
      <c r="A62" s="169"/>
      <c r="B62" s="120" t="s">
        <v>34</v>
      </c>
      <c r="C62" s="121"/>
      <c r="D62" s="121"/>
      <c r="E62" s="121"/>
      <c r="F62" s="121"/>
      <c r="G62" s="121"/>
      <c r="H62" s="121"/>
      <c r="I62" s="121"/>
      <c r="J62" s="45"/>
      <c r="K62" s="46"/>
      <c r="L62" s="166">
        <f>SUM(L55:L61)</f>
        <v>4.1274638736769429</v>
      </c>
      <c r="M62" s="46"/>
      <c r="N62" s="47"/>
    </row>
    <row r="63" spans="1:1022 1039:2048 2065:3056 3073:4082 4099:5108 5125:6134 6151:7160 7177:8186 8203:9212 9229:10238 10255:11264 11281:12272 12289:13298 13315:14324 14341:15350 15367:16376" ht="12" customHeight="1">
      <c r="A63" s="24"/>
      <c r="B63" s="24"/>
      <c r="O63" s="24"/>
      <c r="AE63" s="24"/>
      <c r="AF63" s="24"/>
      <c r="AW63" s="24"/>
      <c r="AX63" s="24"/>
      <c r="BO63" s="24"/>
      <c r="BP63" s="24"/>
      <c r="CG63" s="24"/>
      <c r="CH63" s="24"/>
      <c r="CY63" s="24"/>
      <c r="CZ63" s="24"/>
      <c r="DQ63" s="24"/>
      <c r="DR63" s="24"/>
      <c r="EI63" s="24"/>
      <c r="EJ63" s="24"/>
      <c r="FA63" s="24"/>
      <c r="FB63" s="24"/>
      <c r="FS63" s="24"/>
      <c r="FT63" s="24"/>
      <c r="GK63" s="24"/>
      <c r="GL63" s="24"/>
      <c r="HC63" s="24"/>
      <c r="HD63" s="24"/>
      <c r="HU63" s="24"/>
      <c r="HV63" s="24"/>
      <c r="IM63" s="24"/>
      <c r="IN63" s="24"/>
      <c r="JE63" s="24"/>
      <c r="JF63" s="24"/>
      <c r="JW63" s="24"/>
      <c r="JX63" s="24"/>
      <c r="KO63" s="24"/>
      <c r="KP63" s="24"/>
      <c r="LG63" s="24"/>
      <c r="LH63" s="24"/>
      <c r="LY63" s="24"/>
      <c r="LZ63" s="24"/>
      <c r="MQ63" s="24"/>
      <c r="MR63" s="24"/>
      <c r="NI63" s="24"/>
      <c r="NJ63" s="24"/>
      <c r="OA63" s="24"/>
      <c r="OB63" s="24"/>
      <c r="OS63" s="24"/>
      <c r="OT63" s="24"/>
      <c r="PK63" s="24"/>
      <c r="PL63" s="24"/>
      <c r="QC63" s="24"/>
      <c r="QD63" s="24"/>
      <c r="QU63" s="24"/>
      <c r="QV63" s="24"/>
      <c r="RM63" s="24"/>
      <c r="RN63" s="24"/>
      <c r="SE63" s="24"/>
      <c r="SF63" s="24"/>
      <c r="SW63" s="24"/>
      <c r="SX63" s="24"/>
      <c r="TO63" s="24"/>
      <c r="TP63" s="24"/>
      <c r="UG63" s="24"/>
      <c r="UH63" s="24"/>
      <c r="UY63" s="24"/>
      <c r="UZ63" s="24"/>
      <c r="VQ63" s="24"/>
      <c r="VR63" s="24"/>
      <c r="WI63" s="24"/>
      <c r="WJ63" s="24"/>
      <c r="XA63" s="24"/>
      <c r="XB63" s="24"/>
      <c r="XS63" s="24"/>
      <c r="XT63" s="24"/>
      <c r="YK63" s="24"/>
      <c r="YL63" s="24"/>
      <c r="ZC63" s="24"/>
      <c r="ZD63" s="24"/>
      <c r="ZU63" s="24"/>
      <c r="ZV63" s="24"/>
      <c r="AAM63" s="24"/>
      <c r="AAN63" s="24"/>
      <c r="ABE63" s="24"/>
      <c r="ABF63" s="24"/>
      <c r="ABW63" s="24"/>
      <c r="ABX63" s="24"/>
      <c r="ACO63" s="24"/>
      <c r="ACP63" s="24"/>
      <c r="ADG63" s="24"/>
      <c r="ADH63" s="24"/>
      <c r="ADY63" s="24"/>
      <c r="ADZ63" s="24"/>
      <c r="AEQ63" s="24"/>
      <c r="AER63" s="24"/>
      <c r="AFI63" s="24"/>
      <c r="AFJ63" s="24"/>
      <c r="AGA63" s="24"/>
      <c r="AGB63" s="24"/>
      <c r="AGS63" s="24"/>
      <c r="AGT63" s="24"/>
      <c r="AHK63" s="24"/>
      <c r="AHL63" s="24"/>
      <c r="AIC63" s="24"/>
      <c r="AID63" s="24"/>
      <c r="AIU63" s="24"/>
      <c r="AIV63" s="24"/>
      <c r="AJM63" s="24"/>
      <c r="AJN63" s="24"/>
      <c r="AKE63" s="24"/>
      <c r="AKF63" s="24"/>
      <c r="AKW63" s="24"/>
      <c r="AKX63" s="24"/>
      <c r="ALO63" s="24"/>
      <c r="ALP63" s="24"/>
      <c r="AMG63" s="24"/>
      <c r="AMH63" s="24"/>
      <c r="AMY63" s="24"/>
      <c r="AMZ63" s="24"/>
      <c r="ANQ63" s="24"/>
      <c r="ANR63" s="24"/>
      <c r="AOI63" s="24"/>
      <c r="AOJ63" s="24"/>
      <c r="APA63" s="24"/>
      <c r="APB63" s="24"/>
      <c r="APS63" s="24"/>
      <c r="APT63" s="24"/>
      <c r="AQK63" s="24"/>
      <c r="AQL63" s="24"/>
      <c r="ARC63" s="24"/>
      <c r="ARD63" s="24"/>
      <c r="ARU63" s="24"/>
      <c r="ARV63" s="24"/>
      <c r="ASM63" s="24"/>
      <c r="ASN63" s="24"/>
      <c r="ATE63" s="24"/>
      <c r="ATF63" s="24"/>
      <c r="ATW63" s="24"/>
      <c r="ATX63" s="24"/>
      <c r="AUO63" s="24"/>
      <c r="AUP63" s="24"/>
      <c r="AVG63" s="24"/>
      <c r="AVH63" s="24"/>
      <c r="AVY63" s="24"/>
      <c r="AVZ63" s="24"/>
      <c r="AWQ63" s="24"/>
      <c r="AWR63" s="24"/>
      <c r="AXI63" s="24"/>
      <c r="AXJ63" s="24"/>
      <c r="AYA63" s="24"/>
      <c r="AYB63" s="24"/>
      <c r="AYS63" s="24"/>
      <c r="AYT63" s="24"/>
      <c r="AZK63" s="24"/>
      <c r="AZL63" s="24"/>
      <c r="BAC63" s="24"/>
      <c r="BAD63" s="24"/>
      <c r="BAU63" s="24"/>
      <c r="BAV63" s="24"/>
      <c r="BBM63" s="24"/>
      <c r="BBN63" s="24"/>
      <c r="BCE63" s="24"/>
      <c r="BCF63" s="24"/>
      <c r="BCW63" s="24"/>
      <c r="BCX63" s="24"/>
      <c r="BDO63" s="24"/>
      <c r="BDP63" s="24"/>
      <c r="BEG63" s="24"/>
      <c r="BEH63" s="24"/>
      <c r="BEY63" s="24"/>
      <c r="BEZ63" s="24"/>
      <c r="BFQ63" s="24"/>
      <c r="BFR63" s="24"/>
      <c r="BGI63" s="24"/>
      <c r="BGJ63" s="24"/>
      <c r="BHA63" s="24"/>
      <c r="BHB63" s="24"/>
      <c r="BHS63" s="24"/>
      <c r="BHT63" s="24"/>
      <c r="BIK63" s="24"/>
      <c r="BIL63" s="24"/>
      <c r="BJC63" s="24"/>
      <c r="BJD63" s="24"/>
      <c r="BJU63" s="24"/>
      <c r="BJV63" s="24"/>
      <c r="BKM63" s="24"/>
      <c r="BKN63" s="24"/>
      <c r="BLE63" s="24"/>
      <c r="BLF63" s="24"/>
      <c r="BLW63" s="24"/>
      <c r="BLX63" s="24"/>
      <c r="BMO63" s="24"/>
      <c r="BMP63" s="24"/>
      <c r="BNG63" s="24"/>
      <c r="BNH63" s="24"/>
      <c r="BNY63" s="24"/>
      <c r="BNZ63" s="24"/>
      <c r="BOQ63" s="24"/>
      <c r="BOR63" s="24"/>
      <c r="BPI63" s="24"/>
      <c r="BPJ63" s="24"/>
      <c r="BQA63" s="24"/>
      <c r="BQB63" s="24"/>
      <c r="BQS63" s="24"/>
      <c r="BQT63" s="24"/>
      <c r="BRK63" s="24"/>
      <c r="BRL63" s="24"/>
      <c r="BSC63" s="24"/>
      <c r="BSD63" s="24"/>
      <c r="BSU63" s="24"/>
      <c r="BSV63" s="24"/>
      <c r="BTM63" s="24"/>
      <c r="BTN63" s="24"/>
      <c r="BUE63" s="24"/>
      <c r="BUF63" s="24"/>
      <c r="BUW63" s="24"/>
      <c r="BUX63" s="24"/>
      <c r="BVO63" s="24"/>
      <c r="BVP63" s="24"/>
      <c r="BWG63" s="24"/>
      <c r="BWH63" s="24"/>
      <c r="BWY63" s="24"/>
      <c r="BWZ63" s="24"/>
      <c r="BXQ63" s="24"/>
      <c r="BXR63" s="24"/>
      <c r="BYI63" s="24"/>
      <c r="BYJ63" s="24"/>
      <c r="BZA63" s="24"/>
      <c r="BZB63" s="24"/>
      <c r="BZS63" s="24"/>
      <c r="BZT63" s="24"/>
      <c r="CAK63" s="24"/>
      <c r="CAL63" s="24"/>
      <c r="CBC63" s="24"/>
      <c r="CBD63" s="24"/>
      <c r="CBU63" s="24"/>
      <c r="CBV63" s="24"/>
      <c r="CCM63" s="24"/>
      <c r="CCN63" s="24"/>
      <c r="CDE63" s="24"/>
      <c r="CDF63" s="24"/>
      <c r="CDW63" s="24"/>
      <c r="CDX63" s="24"/>
      <c r="CEO63" s="24"/>
      <c r="CEP63" s="24"/>
      <c r="CFG63" s="24"/>
      <c r="CFH63" s="24"/>
      <c r="CFY63" s="24"/>
      <c r="CFZ63" s="24"/>
      <c r="CGQ63" s="24"/>
      <c r="CGR63" s="24"/>
      <c r="CHI63" s="24"/>
      <c r="CHJ63" s="24"/>
      <c r="CIA63" s="24"/>
      <c r="CIB63" s="24"/>
      <c r="CIS63" s="24"/>
      <c r="CIT63" s="24"/>
      <c r="CJK63" s="24"/>
      <c r="CJL63" s="24"/>
      <c r="CKC63" s="24"/>
      <c r="CKD63" s="24"/>
      <c r="CKU63" s="24"/>
      <c r="CKV63" s="24"/>
      <c r="CLM63" s="24"/>
      <c r="CLN63" s="24"/>
      <c r="CME63" s="24"/>
      <c r="CMF63" s="24"/>
      <c r="CMW63" s="24"/>
      <c r="CMX63" s="24"/>
      <c r="CNO63" s="24"/>
      <c r="CNP63" s="24"/>
      <c r="COG63" s="24"/>
      <c r="COH63" s="24"/>
      <c r="COY63" s="24"/>
      <c r="COZ63" s="24"/>
      <c r="CPQ63" s="24"/>
      <c r="CPR63" s="24"/>
      <c r="CQI63" s="24"/>
      <c r="CQJ63" s="24"/>
      <c r="CRA63" s="24"/>
      <c r="CRB63" s="24"/>
      <c r="CRS63" s="24"/>
      <c r="CRT63" s="24"/>
      <c r="CSK63" s="24"/>
      <c r="CSL63" s="24"/>
      <c r="CTC63" s="24"/>
      <c r="CTD63" s="24"/>
      <c r="CTU63" s="24"/>
      <c r="CTV63" s="24"/>
      <c r="CUM63" s="24"/>
      <c r="CUN63" s="24"/>
      <c r="CVE63" s="24"/>
      <c r="CVF63" s="24"/>
      <c r="CVW63" s="24"/>
      <c r="CVX63" s="24"/>
      <c r="CWO63" s="24"/>
      <c r="CWP63" s="24"/>
      <c r="CXG63" s="24"/>
      <c r="CXH63" s="24"/>
      <c r="CXY63" s="24"/>
      <c r="CXZ63" s="24"/>
      <c r="CYQ63" s="24"/>
      <c r="CYR63" s="24"/>
      <c r="CZI63" s="24"/>
      <c r="CZJ63" s="24"/>
      <c r="DAA63" s="24"/>
      <c r="DAB63" s="24"/>
      <c r="DAS63" s="24"/>
      <c r="DAT63" s="24"/>
      <c r="DBK63" s="24"/>
      <c r="DBL63" s="24"/>
      <c r="DCC63" s="24"/>
      <c r="DCD63" s="24"/>
      <c r="DCU63" s="24"/>
      <c r="DCV63" s="24"/>
      <c r="DDM63" s="24"/>
      <c r="DDN63" s="24"/>
      <c r="DEE63" s="24"/>
      <c r="DEF63" s="24"/>
      <c r="DEW63" s="24"/>
      <c r="DEX63" s="24"/>
      <c r="DFO63" s="24"/>
      <c r="DFP63" s="24"/>
      <c r="DGG63" s="24"/>
      <c r="DGH63" s="24"/>
      <c r="DGY63" s="24"/>
      <c r="DGZ63" s="24"/>
      <c r="DHQ63" s="24"/>
      <c r="DHR63" s="24"/>
      <c r="DII63" s="24"/>
      <c r="DIJ63" s="24"/>
      <c r="DJA63" s="24"/>
      <c r="DJB63" s="24"/>
      <c r="DJS63" s="24"/>
      <c r="DJT63" s="24"/>
      <c r="DKK63" s="24"/>
      <c r="DKL63" s="24"/>
      <c r="DLC63" s="24"/>
      <c r="DLD63" s="24"/>
      <c r="DLU63" s="24"/>
      <c r="DLV63" s="24"/>
      <c r="DMM63" s="24"/>
      <c r="DMN63" s="24"/>
      <c r="DNE63" s="24"/>
      <c r="DNF63" s="24"/>
      <c r="DNW63" s="24"/>
      <c r="DNX63" s="24"/>
      <c r="DOO63" s="24"/>
      <c r="DOP63" s="24"/>
      <c r="DPG63" s="24"/>
      <c r="DPH63" s="24"/>
      <c r="DPY63" s="24"/>
      <c r="DPZ63" s="24"/>
      <c r="DQQ63" s="24"/>
      <c r="DQR63" s="24"/>
      <c r="DRI63" s="24"/>
      <c r="DRJ63" s="24"/>
      <c r="DSA63" s="24"/>
      <c r="DSB63" s="24"/>
      <c r="DSS63" s="24"/>
      <c r="DST63" s="24"/>
      <c r="DTK63" s="24"/>
      <c r="DTL63" s="24"/>
      <c r="DUC63" s="24"/>
      <c r="DUD63" s="24"/>
      <c r="DUU63" s="24"/>
      <c r="DUV63" s="24"/>
      <c r="DVM63" s="24"/>
      <c r="DVN63" s="24"/>
      <c r="DWE63" s="24"/>
      <c r="DWF63" s="24"/>
      <c r="DWW63" s="24"/>
      <c r="DWX63" s="24"/>
      <c r="DXO63" s="24"/>
      <c r="DXP63" s="24"/>
      <c r="DYG63" s="24"/>
      <c r="DYH63" s="24"/>
      <c r="DYY63" s="24"/>
      <c r="DYZ63" s="24"/>
      <c r="DZQ63" s="24"/>
      <c r="DZR63" s="24"/>
      <c r="EAI63" s="24"/>
      <c r="EAJ63" s="24"/>
      <c r="EBA63" s="24"/>
      <c r="EBB63" s="24"/>
      <c r="EBS63" s="24"/>
      <c r="EBT63" s="24"/>
      <c r="ECK63" s="24"/>
      <c r="ECL63" s="24"/>
      <c r="EDC63" s="24"/>
      <c r="EDD63" s="24"/>
      <c r="EDU63" s="24"/>
      <c r="EDV63" s="24"/>
      <c r="EEM63" s="24"/>
      <c r="EEN63" s="24"/>
      <c r="EFE63" s="24"/>
      <c r="EFF63" s="24"/>
      <c r="EFW63" s="24"/>
      <c r="EFX63" s="24"/>
      <c r="EGO63" s="24"/>
      <c r="EGP63" s="24"/>
      <c r="EHG63" s="24"/>
      <c r="EHH63" s="24"/>
      <c r="EHY63" s="24"/>
      <c r="EHZ63" s="24"/>
      <c r="EIQ63" s="24"/>
      <c r="EIR63" s="24"/>
      <c r="EJI63" s="24"/>
      <c r="EJJ63" s="24"/>
      <c r="EKA63" s="24"/>
      <c r="EKB63" s="24"/>
      <c r="EKS63" s="24"/>
      <c r="EKT63" s="24"/>
      <c r="ELK63" s="24"/>
      <c r="ELL63" s="24"/>
      <c r="EMC63" s="24"/>
      <c r="EMD63" s="24"/>
      <c r="EMU63" s="24"/>
      <c r="EMV63" s="24"/>
      <c r="ENM63" s="24"/>
      <c r="ENN63" s="24"/>
      <c r="EOE63" s="24"/>
      <c r="EOF63" s="24"/>
      <c r="EOW63" s="24"/>
      <c r="EOX63" s="24"/>
      <c r="EPO63" s="24"/>
      <c r="EPP63" s="24"/>
      <c r="EQG63" s="24"/>
      <c r="EQH63" s="24"/>
      <c r="EQY63" s="24"/>
      <c r="EQZ63" s="24"/>
      <c r="ERQ63" s="24"/>
      <c r="ERR63" s="24"/>
      <c r="ESI63" s="24"/>
      <c r="ESJ63" s="24"/>
      <c r="ETA63" s="24"/>
      <c r="ETB63" s="24"/>
      <c r="ETS63" s="24"/>
      <c r="ETT63" s="24"/>
      <c r="EUK63" s="24"/>
      <c r="EUL63" s="24"/>
      <c r="EVC63" s="24"/>
      <c r="EVD63" s="24"/>
      <c r="EVU63" s="24"/>
      <c r="EVV63" s="24"/>
      <c r="EWM63" s="24"/>
      <c r="EWN63" s="24"/>
      <c r="EXE63" s="24"/>
      <c r="EXF63" s="24"/>
      <c r="EXW63" s="24"/>
      <c r="EXX63" s="24"/>
      <c r="EYO63" s="24"/>
      <c r="EYP63" s="24"/>
      <c r="EZG63" s="24"/>
      <c r="EZH63" s="24"/>
      <c r="EZY63" s="24"/>
      <c r="EZZ63" s="24"/>
      <c r="FAQ63" s="24"/>
      <c r="FAR63" s="24"/>
      <c r="FBI63" s="24"/>
      <c r="FBJ63" s="24"/>
      <c r="FCA63" s="24"/>
      <c r="FCB63" s="24"/>
      <c r="FCS63" s="24"/>
      <c r="FCT63" s="24"/>
      <c r="FDK63" s="24"/>
      <c r="FDL63" s="24"/>
      <c r="FEC63" s="24"/>
      <c r="FED63" s="24"/>
      <c r="FEU63" s="24"/>
      <c r="FEV63" s="24"/>
      <c r="FFM63" s="24"/>
      <c r="FFN63" s="24"/>
      <c r="FGE63" s="24"/>
      <c r="FGF63" s="24"/>
      <c r="FGW63" s="24"/>
      <c r="FGX63" s="24"/>
      <c r="FHO63" s="24"/>
      <c r="FHP63" s="24"/>
      <c r="FIG63" s="24"/>
      <c r="FIH63" s="24"/>
      <c r="FIY63" s="24"/>
      <c r="FIZ63" s="24"/>
      <c r="FJQ63" s="24"/>
      <c r="FJR63" s="24"/>
      <c r="FKI63" s="24"/>
      <c r="FKJ63" s="24"/>
      <c r="FLA63" s="24"/>
      <c r="FLB63" s="24"/>
      <c r="FLS63" s="24"/>
      <c r="FLT63" s="24"/>
      <c r="FMK63" s="24"/>
      <c r="FML63" s="24"/>
      <c r="FNC63" s="24"/>
      <c r="FND63" s="24"/>
      <c r="FNU63" s="24"/>
      <c r="FNV63" s="24"/>
      <c r="FOM63" s="24"/>
      <c r="FON63" s="24"/>
      <c r="FPE63" s="24"/>
      <c r="FPF63" s="24"/>
      <c r="FPW63" s="24"/>
      <c r="FPX63" s="24"/>
      <c r="FQO63" s="24"/>
      <c r="FQP63" s="24"/>
      <c r="FRG63" s="24"/>
      <c r="FRH63" s="24"/>
      <c r="FRY63" s="24"/>
      <c r="FRZ63" s="24"/>
      <c r="FSQ63" s="24"/>
      <c r="FSR63" s="24"/>
      <c r="FTI63" s="24"/>
      <c r="FTJ63" s="24"/>
      <c r="FUA63" s="24"/>
      <c r="FUB63" s="24"/>
      <c r="FUS63" s="24"/>
      <c r="FUT63" s="24"/>
      <c r="FVK63" s="24"/>
      <c r="FVL63" s="24"/>
      <c r="FWC63" s="24"/>
      <c r="FWD63" s="24"/>
      <c r="FWU63" s="24"/>
      <c r="FWV63" s="24"/>
      <c r="FXM63" s="24"/>
      <c r="FXN63" s="24"/>
      <c r="FYE63" s="24"/>
      <c r="FYF63" s="24"/>
      <c r="FYW63" s="24"/>
      <c r="FYX63" s="24"/>
      <c r="FZO63" s="24"/>
      <c r="FZP63" s="24"/>
      <c r="GAG63" s="24"/>
      <c r="GAH63" s="24"/>
      <c r="GAY63" s="24"/>
      <c r="GAZ63" s="24"/>
      <c r="GBQ63" s="24"/>
      <c r="GBR63" s="24"/>
      <c r="GCI63" s="24"/>
      <c r="GCJ63" s="24"/>
      <c r="GDA63" s="24"/>
      <c r="GDB63" s="24"/>
      <c r="GDS63" s="24"/>
      <c r="GDT63" s="24"/>
      <c r="GEK63" s="24"/>
      <c r="GEL63" s="24"/>
      <c r="GFC63" s="24"/>
      <c r="GFD63" s="24"/>
      <c r="GFU63" s="24"/>
      <c r="GFV63" s="24"/>
      <c r="GGM63" s="24"/>
      <c r="GGN63" s="24"/>
      <c r="GHE63" s="24"/>
      <c r="GHF63" s="24"/>
      <c r="GHW63" s="24"/>
      <c r="GHX63" s="24"/>
      <c r="GIO63" s="24"/>
      <c r="GIP63" s="24"/>
      <c r="GJG63" s="24"/>
      <c r="GJH63" s="24"/>
      <c r="GJY63" s="24"/>
      <c r="GJZ63" s="24"/>
      <c r="GKQ63" s="24"/>
      <c r="GKR63" s="24"/>
      <c r="GLI63" s="24"/>
      <c r="GLJ63" s="24"/>
      <c r="GMA63" s="24"/>
      <c r="GMB63" s="24"/>
      <c r="GMS63" s="24"/>
      <c r="GMT63" s="24"/>
      <c r="GNK63" s="24"/>
      <c r="GNL63" s="24"/>
      <c r="GOC63" s="24"/>
      <c r="GOD63" s="24"/>
      <c r="GOU63" s="24"/>
      <c r="GOV63" s="24"/>
      <c r="GPM63" s="24"/>
      <c r="GPN63" s="24"/>
      <c r="GQE63" s="24"/>
      <c r="GQF63" s="24"/>
      <c r="GQW63" s="24"/>
      <c r="GQX63" s="24"/>
      <c r="GRO63" s="24"/>
      <c r="GRP63" s="24"/>
      <c r="GSG63" s="24"/>
      <c r="GSH63" s="24"/>
      <c r="GSY63" s="24"/>
      <c r="GSZ63" s="24"/>
      <c r="GTQ63" s="24"/>
      <c r="GTR63" s="24"/>
      <c r="GUI63" s="24"/>
      <c r="GUJ63" s="24"/>
      <c r="GVA63" s="24"/>
      <c r="GVB63" s="24"/>
      <c r="GVS63" s="24"/>
      <c r="GVT63" s="24"/>
      <c r="GWK63" s="24"/>
      <c r="GWL63" s="24"/>
      <c r="GXC63" s="24"/>
      <c r="GXD63" s="24"/>
      <c r="GXU63" s="24"/>
      <c r="GXV63" s="24"/>
      <c r="GYM63" s="24"/>
      <c r="GYN63" s="24"/>
      <c r="GZE63" s="24"/>
      <c r="GZF63" s="24"/>
      <c r="GZW63" s="24"/>
      <c r="GZX63" s="24"/>
      <c r="HAO63" s="24"/>
      <c r="HAP63" s="24"/>
      <c r="HBG63" s="24"/>
      <c r="HBH63" s="24"/>
      <c r="HBY63" s="24"/>
      <c r="HBZ63" s="24"/>
      <c r="HCQ63" s="24"/>
      <c r="HCR63" s="24"/>
      <c r="HDI63" s="24"/>
      <c r="HDJ63" s="24"/>
      <c r="HEA63" s="24"/>
      <c r="HEB63" s="24"/>
      <c r="HES63" s="24"/>
      <c r="HET63" s="24"/>
      <c r="HFK63" s="24"/>
      <c r="HFL63" s="24"/>
      <c r="HGC63" s="24"/>
      <c r="HGD63" s="24"/>
      <c r="HGU63" s="24"/>
      <c r="HGV63" s="24"/>
      <c r="HHM63" s="24"/>
      <c r="HHN63" s="24"/>
      <c r="HIE63" s="24"/>
      <c r="HIF63" s="24"/>
      <c r="HIW63" s="24"/>
      <c r="HIX63" s="24"/>
      <c r="HJO63" s="24"/>
      <c r="HJP63" s="24"/>
      <c r="HKG63" s="24"/>
      <c r="HKH63" s="24"/>
      <c r="HKY63" s="24"/>
      <c r="HKZ63" s="24"/>
      <c r="HLQ63" s="24"/>
      <c r="HLR63" s="24"/>
      <c r="HMI63" s="24"/>
      <c r="HMJ63" s="24"/>
      <c r="HNA63" s="24"/>
      <c r="HNB63" s="24"/>
      <c r="HNS63" s="24"/>
      <c r="HNT63" s="24"/>
      <c r="HOK63" s="24"/>
      <c r="HOL63" s="24"/>
      <c r="HPC63" s="24"/>
      <c r="HPD63" s="24"/>
      <c r="HPU63" s="24"/>
      <c r="HPV63" s="24"/>
      <c r="HQM63" s="24"/>
      <c r="HQN63" s="24"/>
      <c r="HRE63" s="24"/>
      <c r="HRF63" s="24"/>
      <c r="HRW63" s="24"/>
      <c r="HRX63" s="24"/>
      <c r="HSO63" s="24"/>
      <c r="HSP63" s="24"/>
      <c r="HTG63" s="24"/>
      <c r="HTH63" s="24"/>
      <c r="HTY63" s="24"/>
      <c r="HTZ63" s="24"/>
      <c r="HUQ63" s="24"/>
      <c r="HUR63" s="24"/>
      <c r="HVI63" s="24"/>
      <c r="HVJ63" s="24"/>
      <c r="HWA63" s="24"/>
      <c r="HWB63" s="24"/>
      <c r="HWS63" s="24"/>
      <c r="HWT63" s="24"/>
      <c r="HXK63" s="24"/>
      <c r="HXL63" s="24"/>
      <c r="HYC63" s="24"/>
      <c r="HYD63" s="24"/>
      <c r="HYU63" s="24"/>
      <c r="HYV63" s="24"/>
      <c r="HZM63" s="24"/>
      <c r="HZN63" s="24"/>
      <c r="IAE63" s="24"/>
      <c r="IAF63" s="24"/>
      <c r="IAW63" s="24"/>
      <c r="IAX63" s="24"/>
      <c r="IBO63" s="24"/>
      <c r="IBP63" s="24"/>
      <c r="ICG63" s="24"/>
      <c r="ICH63" s="24"/>
      <c r="ICY63" s="24"/>
      <c r="ICZ63" s="24"/>
      <c r="IDQ63" s="24"/>
      <c r="IDR63" s="24"/>
      <c r="IEI63" s="24"/>
      <c r="IEJ63" s="24"/>
      <c r="IFA63" s="24"/>
      <c r="IFB63" s="24"/>
      <c r="IFS63" s="24"/>
      <c r="IFT63" s="24"/>
      <c r="IGK63" s="24"/>
      <c r="IGL63" s="24"/>
      <c r="IHC63" s="24"/>
      <c r="IHD63" s="24"/>
      <c r="IHU63" s="24"/>
      <c r="IHV63" s="24"/>
      <c r="IIM63" s="24"/>
      <c r="IIN63" s="24"/>
      <c r="IJE63" s="24"/>
      <c r="IJF63" s="24"/>
      <c r="IJW63" s="24"/>
      <c r="IJX63" s="24"/>
      <c r="IKO63" s="24"/>
      <c r="IKP63" s="24"/>
      <c r="ILG63" s="24"/>
      <c r="ILH63" s="24"/>
      <c r="ILY63" s="24"/>
      <c r="ILZ63" s="24"/>
      <c r="IMQ63" s="24"/>
      <c r="IMR63" s="24"/>
      <c r="INI63" s="24"/>
      <c r="INJ63" s="24"/>
      <c r="IOA63" s="24"/>
      <c r="IOB63" s="24"/>
      <c r="IOS63" s="24"/>
      <c r="IOT63" s="24"/>
      <c r="IPK63" s="24"/>
      <c r="IPL63" s="24"/>
      <c r="IQC63" s="24"/>
      <c r="IQD63" s="24"/>
      <c r="IQU63" s="24"/>
      <c r="IQV63" s="24"/>
      <c r="IRM63" s="24"/>
      <c r="IRN63" s="24"/>
      <c r="ISE63" s="24"/>
      <c r="ISF63" s="24"/>
      <c r="ISW63" s="24"/>
      <c r="ISX63" s="24"/>
      <c r="ITO63" s="24"/>
      <c r="ITP63" s="24"/>
      <c r="IUG63" s="24"/>
      <c r="IUH63" s="24"/>
      <c r="IUY63" s="24"/>
      <c r="IUZ63" s="24"/>
      <c r="IVQ63" s="24"/>
      <c r="IVR63" s="24"/>
      <c r="IWI63" s="24"/>
      <c r="IWJ63" s="24"/>
      <c r="IXA63" s="24"/>
      <c r="IXB63" s="24"/>
      <c r="IXS63" s="24"/>
      <c r="IXT63" s="24"/>
      <c r="IYK63" s="24"/>
      <c r="IYL63" s="24"/>
      <c r="IZC63" s="24"/>
      <c r="IZD63" s="24"/>
      <c r="IZU63" s="24"/>
      <c r="IZV63" s="24"/>
      <c r="JAM63" s="24"/>
      <c r="JAN63" s="24"/>
      <c r="JBE63" s="24"/>
      <c r="JBF63" s="24"/>
      <c r="JBW63" s="24"/>
      <c r="JBX63" s="24"/>
      <c r="JCO63" s="24"/>
      <c r="JCP63" s="24"/>
      <c r="JDG63" s="24"/>
      <c r="JDH63" s="24"/>
      <c r="JDY63" s="24"/>
      <c r="JDZ63" s="24"/>
      <c r="JEQ63" s="24"/>
      <c r="JER63" s="24"/>
      <c r="JFI63" s="24"/>
      <c r="JFJ63" s="24"/>
      <c r="JGA63" s="24"/>
      <c r="JGB63" s="24"/>
      <c r="JGS63" s="24"/>
      <c r="JGT63" s="24"/>
      <c r="JHK63" s="24"/>
      <c r="JHL63" s="24"/>
      <c r="JIC63" s="24"/>
      <c r="JID63" s="24"/>
      <c r="JIU63" s="24"/>
      <c r="JIV63" s="24"/>
      <c r="JJM63" s="24"/>
      <c r="JJN63" s="24"/>
      <c r="JKE63" s="24"/>
      <c r="JKF63" s="24"/>
      <c r="JKW63" s="24"/>
      <c r="JKX63" s="24"/>
      <c r="JLO63" s="24"/>
      <c r="JLP63" s="24"/>
      <c r="JMG63" s="24"/>
      <c r="JMH63" s="24"/>
      <c r="JMY63" s="24"/>
      <c r="JMZ63" s="24"/>
      <c r="JNQ63" s="24"/>
      <c r="JNR63" s="24"/>
      <c r="JOI63" s="24"/>
      <c r="JOJ63" s="24"/>
      <c r="JPA63" s="24"/>
      <c r="JPB63" s="24"/>
      <c r="JPS63" s="24"/>
      <c r="JPT63" s="24"/>
      <c r="JQK63" s="24"/>
      <c r="JQL63" s="24"/>
      <c r="JRC63" s="24"/>
      <c r="JRD63" s="24"/>
      <c r="JRU63" s="24"/>
      <c r="JRV63" s="24"/>
      <c r="JSM63" s="24"/>
      <c r="JSN63" s="24"/>
      <c r="JTE63" s="24"/>
      <c r="JTF63" s="24"/>
      <c r="JTW63" s="24"/>
      <c r="JTX63" s="24"/>
      <c r="JUO63" s="24"/>
      <c r="JUP63" s="24"/>
      <c r="JVG63" s="24"/>
      <c r="JVH63" s="24"/>
      <c r="JVY63" s="24"/>
      <c r="JVZ63" s="24"/>
      <c r="JWQ63" s="24"/>
      <c r="JWR63" s="24"/>
      <c r="JXI63" s="24"/>
      <c r="JXJ63" s="24"/>
      <c r="JYA63" s="24"/>
      <c r="JYB63" s="24"/>
      <c r="JYS63" s="24"/>
      <c r="JYT63" s="24"/>
      <c r="JZK63" s="24"/>
      <c r="JZL63" s="24"/>
      <c r="KAC63" s="24"/>
      <c r="KAD63" s="24"/>
      <c r="KAU63" s="24"/>
      <c r="KAV63" s="24"/>
      <c r="KBM63" s="24"/>
      <c r="KBN63" s="24"/>
      <c r="KCE63" s="24"/>
      <c r="KCF63" s="24"/>
      <c r="KCW63" s="24"/>
      <c r="KCX63" s="24"/>
      <c r="KDO63" s="24"/>
      <c r="KDP63" s="24"/>
      <c r="KEG63" s="24"/>
      <c r="KEH63" s="24"/>
      <c r="KEY63" s="24"/>
      <c r="KEZ63" s="24"/>
      <c r="KFQ63" s="24"/>
      <c r="KFR63" s="24"/>
      <c r="KGI63" s="24"/>
      <c r="KGJ63" s="24"/>
      <c r="KHA63" s="24"/>
      <c r="KHB63" s="24"/>
      <c r="KHS63" s="24"/>
      <c r="KHT63" s="24"/>
      <c r="KIK63" s="24"/>
      <c r="KIL63" s="24"/>
      <c r="KJC63" s="24"/>
      <c r="KJD63" s="24"/>
      <c r="KJU63" s="24"/>
      <c r="KJV63" s="24"/>
      <c r="KKM63" s="24"/>
      <c r="KKN63" s="24"/>
      <c r="KLE63" s="24"/>
      <c r="KLF63" s="24"/>
      <c r="KLW63" s="24"/>
      <c r="KLX63" s="24"/>
      <c r="KMO63" s="24"/>
      <c r="KMP63" s="24"/>
      <c r="KNG63" s="24"/>
      <c r="KNH63" s="24"/>
      <c r="KNY63" s="24"/>
      <c r="KNZ63" s="24"/>
      <c r="KOQ63" s="24"/>
      <c r="KOR63" s="24"/>
      <c r="KPI63" s="24"/>
      <c r="KPJ63" s="24"/>
      <c r="KQA63" s="24"/>
      <c r="KQB63" s="24"/>
      <c r="KQS63" s="24"/>
      <c r="KQT63" s="24"/>
      <c r="KRK63" s="24"/>
      <c r="KRL63" s="24"/>
      <c r="KSC63" s="24"/>
      <c r="KSD63" s="24"/>
      <c r="KSU63" s="24"/>
      <c r="KSV63" s="24"/>
      <c r="KTM63" s="24"/>
      <c r="KTN63" s="24"/>
      <c r="KUE63" s="24"/>
      <c r="KUF63" s="24"/>
      <c r="KUW63" s="24"/>
      <c r="KUX63" s="24"/>
      <c r="KVO63" s="24"/>
      <c r="KVP63" s="24"/>
      <c r="KWG63" s="24"/>
      <c r="KWH63" s="24"/>
      <c r="KWY63" s="24"/>
      <c r="KWZ63" s="24"/>
      <c r="KXQ63" s="24"/>
      <c r="KXR63" s="24"/>
      <c r="KYI63" s="24"/>
      <c r="KYJ63" s="24"/>
      <c r="KZA63" s="24"/>
      <c r="KZB63" s="24"/>
      <c r="KZS63" s="24"/>
      <c r="KZT63" s="24"/>
      <c r="LAK63" s="24"/>
      <c r="LAL63" s="24"/>
      <c r="LBC63" s="24"/>
      <c r="LBD63" s="24"/>
      <c r="LBU63" s="24"/>
      <c r="LBV63" s="24"/>
      <c r="LCM63" s="24"/>
      <c r="LCN63" s="24"/>
      <c r="LDE63" s="24"/>
      <c r="LDF63" s="24"/>
      <c r="LDW63" s="24"/>
      <c r="LDX63" s="24"/>
      <c r="LEO63" s="24"/>
      <c r="LEP63" s="24"/>
      <c r="LFG63" s="24"/>
      <c r="LFH63" s="24"/>
      <c r="LFY63" s="24"/>
      <c r="LFZ63" s="24"/>
      <c r="LGQ63" s="24"/>
      <c r="LGR63" s="24"/>
      <c r="LHI63" s="24"/>
      <c r="LHJ63" s="24"/>
      <c r="LIA63" s="24"/>
      <c r="LIB63" s="24"/>
      <c r="LIS63" s="24"/>
      <c r="LIT63" s="24"/>
      <c r="LJK63" s="24"/>
      <c r="LJL63" s="24"/>
      <c r="LKC63" s="24"/>
      <c r="LKD63" s="24"/>
      <c r="LKU63" s="24"/>
      <c r="LKV63" s="24"/>
      <c r="LLM63" s="24"/>
      <c r="LLN63" s="24"/>
      <c r="LME63" s="24"/>
      <c r="LMF63" s="24"/>
      <c r="LMW63" s="24"/>
      <c r="LMX63" s="24"/>
      <c r="LNO63" s="24"/>
      <c r="LNP63" s="24"/>
      <c r="LOG63" s="24"/>
      <c r="LOH63" s="24"/>
      <c r="LOY63" s="24"/>
      <c r="LOZ63" s="24"/>
      <c r="LPQ63" s="24"/>
      <c r="LPR63" s="24"/>
      <c r="LQI63" s="24"/>
      <c r="LQJ63" s="24"/>
      <c r="LRA63" s="24"/>
      <c r="LRB63" s="24"/>
      <c r="LRS63" s="24"/>
      <c r="LRT63" s="24"/>
      <c r="LSK63" s="24"/>
      <c r="LSL63" s="24"/>
      <c r="LTC63" s="24"/>
      <c r="LTD63" s="24"/>
      <c r="LTU63" s="24"/>
      <c r="LTV63" s="24"/>
      <c r="LUM63" s="24"/>
      <c r="LUN63" s="24"/>
      <c r="LVE63" s="24"/>
      <c r="LVF63" s="24"/>
      <c r="LVW63" s="24"/>
      <c r="LVX63" s="24"/>
      <c r="LWO63" s="24"/>
      <c r="LWP63" s="24"/>
      <c r="LXG63" s="24"/>
      <c r="LXH63" s="24"/>
      <c r="LXY63" s="24"/>
      <c r="LXZ63" s="24"/>
      <c r="LYQ63" s="24"/>
      <c r="LYR63" s="24"/>
      <c r="LZI63" s="24"/>
      <c r="LZJ63" s="24"/>
      <c r="MAA63" s="24"/>
      <c r="MAB63" s="24"/>
      <c r="MAS63" s="24"/>
      <c r="MAT63" s="24"/>
      <c r="MBK63" s="24"/>
      <c r="MBL63" s="24"/>
      <c r="MCC63" s="24"/>
      <c r="MCD63" s="24"/>
      <c r="MCU63" s="24"/>
      <c r="MCV63" s="24"/>
      <c r="MDM63" s="24"/>
      <c r="MDN63" s="24"/>
      <c r="MEE63" s="24"/>
      <c r="MEF63" s="24"/>
      <c r="MEW63" s="24"/>
      <c r="MEX63" s="24"/>
      <c r="MFO63" s="24"/>
      <c r="MFP63" s="24"/>
      <c r="MGG63" s="24"/>
      <c r="MGH63" s="24"/>
      <c r="MGY63" s="24"/>
      <c r="MGZ63" s="24"/>
      <c r="MHQ63" s="24"/>
      <c r="MHR63" s="24"/>
      <c r="MII63" s="24"/>
      <c r="MIJ63" s="24"/>
      <c r="MJA63" s="24"/>
      <c r="MJB63" s="24"/>
      <c r="MJS63" s="24"/>
      <c r="MJT63" s="24"/>
      <c r="MKK63" s="24"/>
      <c r="MKL63" s="24"/>
      <c r="MLC63" s="24"/>
      <c r="MLD63" s="24"/>
      <c r="MLU63" s="24"/>
      <c r="MLV63" s="24"/>
      <c r="MMM63" s="24"/>
      <c r="MMN63" s="24"/>
      <c r="MNE63" s="24"/>
      <c r="MNF63" s="24"/>
      <c r="MNW63" s="24"/>
      <c r="MNX63" s="24"/>
      <c r="MOO63" s="24"/>
      <c r="MOP63" s="24"/>
      <c r="MPG63" s="24"/>
      <c r="MPH63" s="24"/>
      <c r="MPY63" s="24"/>
      <c r="MPZ63" s="24"/>
      <c r="MQQ63" s="24"/>
      <c r="MQR63" s="24"/>
      <c r="MRI63" s="24"/>
      <c r="MRJ63" s="24"/>
      <c r="MSA63" s="24"/>
      <c r="MSB63" s="24"/>
      <c r="MSS63" s="24"/>
      <c r="MST63" s="24"/>
      <c r="MTK63" s="24"/>
      <c r="MTL63" s="24"/>
      <c r="MUC63" s="24"/>
      <c r="MUD63" s="24"/>
      <c r="MUU63" s="24"/>
      <c r="MUV63" s="24"/>
      <c r="MVM63" s="24"/>
      <c r="MVN63" s="24"/>
      <c r="MWE63" s="24"/>
      <c r="MWF63" s="24"/>
      <c r="MWW63" s="24"/>
      <c r="MWX63" s="24"/>
      <c r="MXO63" s="24"/>
      <c r="MXP63" s="24"/>
      <c r="MYG63" s="24"/>
      <c r="MYH63" s="24"/>
      <c r="MYY63" s="24"/>
      <c r="MYZ63" s="24"/>
      <c r="MZQ63" s="24"/>
      <c r="MZR63" s="24"/>
      <c r="NAI63" s="24"/>
      <c r="NAJ63" s="24"/>
      <c r="NBA63" s="24"/>
      <c r="NBB63" s="24"/>
      <c r="NBS63" s="24"/>
      <c r="NBT63" s="24"/>
      <c r="NCK63" s="24"/>
      <c r="NCL63" s="24"/>
      <c r="NDC63" s="24"/>
      <c r="NDD63" s="24"/>
      <c r="NDU63" s="24"/>
      <c r="NDV63" s="24"/>
      <c r="NEM63" s="24"/>
      <c r="NEN63" s="24"/>
      <c r="NFE63" s="24"/>
      <c r="NFF63" s="24"/>
      <c r="NFW63" s="24"/>
      <c r="NFX63" s="24"/>
      <c r="NGO63" s="24"/>
      <c r="NGP63" s="24"/>
      <c r="NHG63" s="24"/>
      <c r="NHH63" s="24"/>
      <c r="NHY63" s="24"/>
      <c r="NHZ63" s="24"/>
      <c r="NIQ63" s="24"/>
      <c r="NIR63" s="24"/>
      <c r="NJI63" s="24"/>
      <c r="NJJ63" s="24"/>
      <c r="NKA63" s="24"/>
      <c r="NKB63" s="24"/>
      <c r="NKS63" s="24"/>
      <c r="NKT63" s="24"/>
      <c r="NLK63" s="24"/>
      <c r="NLL63" s="24"/>
      <c r="NMC63" s="24"/>
      <c r="NMD63" s="24"/>
      <c r="NMU63" s="24"/>
      <c r="NMV63" s="24"/>
      <c r="NNM63" s="24"/>
      <c r="NNN63" s="24"/>
      <c r="NOE63" s="24"/>
      <c r="NOF63" s="24"/>
      <c r="NOW63" s="24"/>
      <c r="NOX63" s="24"/>
      <c r="NPO63" s="24"/>
      <c r="NPP63" s="24"/>
      <c r="NQG63" s="24"/>
      <c r="NQH63" s="24"/>
      <c r="NQY63" s="24"/>
      <c r="NQZ63" s="24"/>
      <c r="NRQ63" s="24"/>
      <c r="NRR63" s="24"/>
      <c r="NSI63" s="24"/>
      <c r="NSJ63" s="24"/>
      <c r="NTA63" s="24"/>
      <c r="NTB63" s="24"/>
      <c r="NTS63" s="24"/>
      <c r="NTT63" s="24"/>
      <c r="NUK63" s="24"/>
      <c r="NUL63" s="24"/>
      <c r="NVC63" s="24"/>
      <c r="NVD63" s="24"/>
      <c r="NVU63" s="24"/>
      <c r="NVV63" s="24"/>
      <c r="NWM63" s="24"/>
      <c r="NWN63" s="24"/>
      <c r="NXE63" s="24"/>
      <c r="NXF63" s="24"/>
      <c r="NXW63" s="24"/>
      <c r="NXX63" s="24"/>
      <c r="NYO63" s="24"/>
      <c r="NYP63" s="24"/>
      <c r="NZG63" s="24"/>
      <c r="NZH63" s="24"/>
      <c r="NZY63" s="24"/>
      <c r="NZZ63" s="24"/>
      <c r="OAQ63" s="24"/>
      <c r="OAR63" s="24"/>
      <c r="OBI63" s="24"/>
      <c r="OBJ63" s="24"/>
      <c r="OCA63" s="24"/>
      <c r="OCB63" s="24"/>
      <c r="OCS63" s="24"/>
      <c r="OCT63" s="24"/>
      <c r="ODK63" s="24"/>
      <c r="ODL63" s="24"/>
      <c r="OEC63" s="24"/>
      <c r="OED63" s="24"/>
      <c r="OEU63" s="24"/>
      <c r="OEV63" s="24"/>
      <c r="OFM63" s="24"/>
      <c r="OFN63" s="24"/>
      <c r="OGE63" s="24"/>
      <c r="OGF63" s="24"/>
      <c r="OGW63" s="24"/>
      <c r="OGX63" s="24"/>
      <c r="OHO63" s="24"/>
      <c r="OHP63" s="24"/>
      <c r="OIG63" s="24"/>
      <c r="OIH63" s="24"/>
      <c r="OIY63" s="24"/>
      <c r="OIZ63" s="24"/>
      <c r="OJQ63" s="24"/>
      <c r="OJR63" s="24"/>
      <c r="OKI63" s="24"/>
      <c r="OKJ63" s="24"/>
      <c r="OLA63" s="24"/>
      <c r="OLB63" s="24"/>
      <c r="OLS63" s="24"/>
      <c r="OLT63" s="24"/>
      <c r="OMK63" s="24"/>
      <c r="OML63" s="24"/>
      <c r="ONC63" s="24"/>
      <c r="OND63" s="24"/>
      <c r="ONU63" s="24"/>
      <c r="ONV63" s="24"/>
      <c r="OOM63" s="24"/>
      <c r="OON63" s="24"/>
      <c r="OPE63" s="24"/>
      <c r="OPF63" s="24"/>
      <c r="OPW63" s="24"/>
      <c r="OPX63" s="24"/>
      <c r="OQO63" s="24"/>
      <c r="OQP63" s="24"/>
      <c r="ORG63" s="24"/>
      <c r="ORH63" s="24"/>
      <c r="ORY63" s="24"/>
      <c r="ORZ63" s="24"/>
      <c r="OSQ63" s="24"/>
      <c r="OSR63" s="24"/>
      <c r="OTI63" s="24"/>
      <c r="OTJ63" s="24"/>
      <c r="OUA63" s="24"/>
      <c r="OUB63" s="24"/>
      <c r="OUS63" s="24"/>
      <c r="OUT63" s="24"/>
      <c r="OVK63" s="24"/>
      <c r="OVL63" s="24"/>
      <c r="OWC63" s="24"/>
      <c r="OWD63" s="24"/>
      <c r="OWU63" s="24"/>
      <c r="OWV63" s="24"/>
      <c r="OXM63" s="24"/>
      <c r="OXN63" s="24"/>
      <c r="OYE63" s="24"/>
      <c r="OYF63" s="24"/>
      <c r="OYW63" s="24"/>
      <c r="OYX63" s="24"/>
      <c r="OZO63" s="24"/>
      <c r="OZP63" s="24"/>
      <c r="PAG63" s="24"/>
      <c r="PAH63" s="24"/>
      <c r="PAY63" s="24"/>
      <c r="PAZ63" s="24"/>
      <c r="PBQ63" s="24"/>
      <c r="PBR63" s="24"/>
      <c r="PCI63" s="24"/>
      <c r="PCJ63" s="24"/>
      <c r="PDA63" s="24"/>
      <c r="PDB63" s="24"/>
      <c r="PDS63" s="24"/>
      <c r="PDT63" s="24"/>
      <c r="PEK63" s="24"/>
      <c r="PEL63" s="24"/>
      <c r="PFC63" s="24"/>
      <c r="PFD63" s="24"/>
      <c r="PFU63" s="24"/>
      <c r="PFV63" s="24"/>
      <c r="PGM63" s="24"/>
      <c r="PGN63" s="24"/>
      <c r="PHE63" s="24"/>
      <c r="PHF63" s="24"/>
      <c r="PHW63" s="24"/>
      <c r="PHX63" s="24"/>
      <c r="PIO63" s="24"/>
      <c r="PIP63" s="24"/>
      <c r="PJG63" s="24"/>
      <c r="PJH63" s="24"/>
      <c r="PJY63" s="24"/>
      <c r="PJZ63" s="24"/>
      <c r="PKQ63" s="24"/>
      <c r="PKR63" s="24"/>
      <c r="PLI63" s="24"/>
      <c r="PLJ63" s="24"/>
      <c r="PMA63" s="24"/>
      <c r="PMB63" s="24"/>
      <c r="PMS63" s="24"/>
      <c r="PMT63" s="24"/>
      <c r="PNK63" s="24"/>
      <c r="PNL63" s="24"/>
      <c r="POC63" s="24"/>
      <c r="POD63" s="24"/>
      <c r="POU63" s="24"/>
      <c r="POV63" s="24"/>
      <c r="PPM63" s="24"/>
      <c r="PPN63" s="24"/>
      <c r="PQE63" s="24"/>
      <c r="PQF63" s="24"/>
      <c r="PQW63" s="24"/>
      <c r="PQX63" s="24"/>
      <c r="PRO63" s="24"/>
      <c r="PRP63" s="24"/>
      <c r="PSG63" s="24"/>
      <c r="PSH63" s="24"/>
      <c r="PSY63" s="24"/>
      <c r="PSZ63" s="24"/>
      <c r="PTQ63" s="24"/>
      <c r="PTR63" s="24"/>
      <c r="PUI63" s="24"/>
      <c r="PUJ63" s="24"/>
      <c r="PVA63" s="24"/>
      <c r="PVB63" s="24"/>
      <c r="PVS63" s="24"/>
      <c r="PVT63" s="24"/>
      <c r="PWK63" s="24"/>
      <c r="PWL63" s="24"/>
      <c r="PXC63" s="24"/>
      <c r="PXD63" s="24"/>
      <c r="PXU63" s="24"/>
      <c r="PXV63" s="24"/>
      <c r="PYM63" s="24"/>
      <c r="PYN63" s="24"/>
      <c r="PZE63" s="24"/>
      <c r="PZF63" s="24"/>
      <c r="PZW63" s="24"/>
      <c r="PZX63" s="24"/>
      <c r="QAO63" s="24"/>
      <c r="QAP63" s="24"/>
      <c r="QBG63" s="24"/>
      <c r="QBH63" s="24"/>
      <c r="QBY63" s="24"/>
      <c r="QBZ63" s="24"/>
      <c r="QCQ63" s="24"/>
      <c r="QCR63" s="24"/>
      <c r="QDI63" s="24"/>
      <c r="QDJ63" s="24"/>
      <c r="QEA63" s="24"/>
      <c r="QEB63" s="24"/>
      <c r="QES63" s="24"/>
      <c r="QET63" s="24"/>
      <c r="QFK63" s="24"/>
      <c r="QFL63" s="24"/>
      <c r="QGC63" s="24"/>
      <c r="QGD63" s="24"/>
      <c r="QGU63" s="24"/>
      <c r="QGV63" s="24"/>
      <c r="QHM63" s="24"/>
      <c r="QHN63" s="24"/>
      <c r="QIE63" s="24"/>
      <c r="QIF63" s="24"/>
      <c r="QIW63" s="24"/>
      <c r="QIX63" s="24"/>
      <c r="QJO63" s="24"/>
      <c r="QJP63" s="24"/>
      <c r="QKG63" s="24"/>
      <c r="QKH63" s="24"/>
      <c r="QKY63" s="24"/>
      <c r="QKZ63" s="24"/>
      <c r="QLQ63" s="24"/>
      <c r="QLR63" s="24"/>
      <c r="QMI63" s="24"/>
      <c r="QMJ63" s="24"/>
      <c r="QNA63" s="24"/>
      <c r="QNB63" s="24"/>
      <c r="QNS63" s="24"/>
      <c r="QNT63" s="24"/>
      <c r="QOK63" s="24"/>
      <c r="QOL63" s="24"/>
      <c r="QPC63" s="24"/>
      <c r="QPD63" s="24"/>
      <c r="QPU63" s="24"/>
      <c r="QPV63" s="24"/>
      <c r="QQM63" s="24"/>
      <c r="QQN63" s="24"/>
      <c r="QRE63" s="24"/>
      <c r="QRF63" s="24"/>
      <c r="QRW63" s="24"/>
      <c r="QRX63" s="24"/>
      <c r="QSO63" s="24"/>
      <c r="QSP63" s="24"/>
      <c r="QTG63" s="24"/>
      <c r="QTH63" s="24"/>
      <c r="QTY63" s="24"/>
      <c r="QTZ63" s="24"/>
      <c r="QUQ63" s="24"/>
      <c r="QUR63" s="24"/>
      <c r="QVI63" s="24"/>
      <c r="QVJ63" s="24"/>
      <c r="QWA63" s="24"/>
      <c r="QWB63" s="24"/>
      <c r="QWS63" s="24"/>
      <c r="QWT63" s="24"/>
      <c r="QXK63" s="24"/>
      <c r="QXL63" s="24"/>
      <c r="QYC63" s="24"/>
      <c r="QYD63" s="24"/>
      <c r="QYU63" s="24"/>
      <c r="QYV63" s="24"/>
      <c r="QZM63" s="24"/>
      <c r="QZN63" s="24"/>
      <c r="RAE63" s="24"/>
      <c r="RAF63" s="24"/>
      <c r="RAW63" s="24"/>
      <c r="RAX63" s="24"/>
      <c r="RBO63" s="24"/>
      <c r="RBP63" s="24"/>
      <c r="RCG63" s="24"/>
      <c r="RCH63" s="24"/>
      <c r="RCY63" s="24"/>
      <c r="RCZ63" s="24"/>
      <c r="RDQ63" s="24"/>
      <c r="RDR63" s="24"/>
      <c r="REI63" s="24"/>
      <c r="REJ63" s="24"/>
      <c r="RFA63" s="24"/>
      <c r="RFB63" s="24"/>
      <c r="RFS63" s="24"/>
      <c r="RFT63" s="24"/>
      <c r="RGK63" s="24"/>
      <c r="RGL63" s="24"/>
      <c r="RHC63" s="24"/>
      <c r="RHD63" s="24"/>
      <c r="RHU63" s="24"/>
      <c r="RHV63" s="24"/>
      <c r="RIM63" s="24"/>
      <c r="RIN63" s="24"/>
      <c r="RJE63" s="24"/>
      <c r="RJF63" s="24"/>
      <c r="RJW63" s="24"/>
      <c r="RJX63" s="24"/>
      <c r="RKO63" s="24"/>
      <c r="RKP63" s="24"/>
      <c r="RLG63" s="24"/>
      <c r="RLH63" s="24"/>
      <c r="RLY63" s="24"/>
      <c r="RLZ63" s="24"/>
      <c r="RMQ63" s="24"/>
      <c r="RMR63" s="24"/>
      <c r="RNI63" s="24"/>
      <c r="RNJ63" s="24"/>
      <c r="ROA63" s="24"/>
      <c r="ROB63" s="24"/>
      <c r="ROS63" s="24"/>
      <c r="ROT63" s="24"/>
      <c r="RPK63" s="24"/>
      <c r="RPL63" s="24"/>
      <c r="RQC63" s="24"/>
      <c r="RQD63" s="24"/>
      <c r="RQU63" s="24"/>
      <c r="RQV63" s="24"/>
      <c r="RRM63" s="24"/>
      <c r="RRN63" s="24"/>
      <c r="RSE63" s="24"/>
      <c r="RSF63" s="24"/>
      <c r="RSW63" s="24"/>
      <c r="RSX63" s="24"/>
      <c r="RTO63" s="24"/>
      <c r="RTP63" s="24"/>
      <c r="RUG63" s="24"/>
      <c r="RUH63" s="24"/>
      <c r="RUY63" s="24"/>
      <c r="RUZ63" s="24"/>
      <c r="RVQ63" s="24"/>
      <c r="RVR63" s="24"/>
      <c r="RWI63" s="24"/>
      <c r="RWJ63" s="24"/>
      <c r="RXA63" s="24"/>
      <c r="RXB63" s="24"/>
      <c r="RXS63" s="24"/>
      <c r="RXT63" s="24"/>
      <c r="RYK63" s="24"/>
      <c r="RYL63" s="24"/>
      <c r="RZC63" s="24"/>
      <c r="RZD63" s="24"/>
      <c r="RZU63" s="24"/>
      <c r="RZV63" s="24"/>
      <c r="SAM63" s="24"/>
      <c r="SAN63" s="24"/>
      <c r="SBE63" s="24"/>
      <c r="SBF63" s="24"/>
      <c r="SBW63" s="24"/>
      <c r="SBX63" s="24"/>
      <c r="SCO63" s="24"/>
      <c r="SCP63" s="24"/>
      <c r="SDG63" s="24"/>
      <c r="SDH63" s="24"/>
      <c r="SDY63" s="24"/>
      <c r="SDZ63" s="24"/>
      <c r="SEQ63" s="24"/>
      <c r="SER63" s="24"/>
      <c r="SFI63" s="24"/>
      <c r="SFJ63" s="24"/>
      <c r="SGA63" s="24"/>
      <c r="SGB63" s="24"/>
      <c r="SGS63" s="24"/>
      <c r="SGT63" s="24"/>
      <c r="SHK63" s="24"/>
      <c r="SHL63" s="24"/>
      <c r="SIC63" s="24"/>
      <c r="SID63" s="24"/>
      <c r="SIU63" s="24"/>
      <c r="SIV63" s="24"/>
      <c r="SJM63" s="24"/>
      <c r="SJN63" s="24"/>
      <c r="SKE63" s="24"/>
      <c r="SKF63" s="24"/>
      <c r="SKW63" s="24"/>
      <c r="SKX63" s="24"/>
      <c r="SLO63" s="24"/>
      <c r="SLP63" s="24"/>
      <c r="SMG63" s="24"/>
      <c r="SMH63" s="24"/>
      <c r="SMY63" s="24"/>
      <c r="SMZ63" s="24"/>
      <c r="SNQ63" s="24"/>
      <c r="SNR63" s="24"/>
      <c r="SOI63" s="24"/>
      <c r="SOJ63" s="24"/>
      <c r="SPA63" s="24"/>
      <c r="SPB63" s="24"/>
      <c r="SPS63" s="24"/>
      <c r="SPT63" s="24"/>
      <c r="SQK63" s="24"/>
      <c r="SQL63" s="24"/>
      <c r="SRC63" s="24"/>
      <c r="SRD63" s="24"/>
      <c r="SRU63" s="24"/>
      <c r="SRV63" s="24"/>
      <c r="SSM63" s="24"/>
      <c r="SSN63" s="24"/>
      <c r="STE63" s="24"/>
      <c r="STF63" s="24"/>
      <c r="STW63" s="24"/>
      <c r="STX63" s="24"/>
      <c r="SUO63" s="24"/>
      <c r="SUP63" s="24"/>
      <c r="SVG63" s="24"/>
      <c r="SVH63" s="24"/>
      <c r="SVY63" s="24"/>
      <c r="SVZ63" s="24"/>
      <c r="SWQ63" s="24"/>
      <c r="SWR63" s="24"/>
      <c r="SXI63" s="24"/>
      <c r="SXJ63" s="24"/>
      <c r="SYA63" s="24"/>
      <c r="SYB63" s="24"/>
      <c r="SYS63" s="24"/>
      <c r="SYT63" s="24"/>
      <c r="SZK63" s="24"/>
      <c r="SZL63" s="24"/>
      <c r="TAC63" s="24"/>
      <c r="TAD63" s="24"/>
      <c r="TAU63" s="24"/>
      <c r="TAV63" s="24"/>
      <c r="TBM63" s="24"/>
      <c r="TBN63" s="24"/>
      <c r="TCE63" s="24"/>
      <c r="TCF63" s="24"/>
      <c r="TCW63" s="24"/>
      <c r="TCX63" s="24"/>
      <c r="TDO63" s="24"/>
      <c r="TDP63" s="24"/>
      <c r="TEG63" s="24"/>
      <c r="TEH63" s="24"/>
      <c r="TEY63" s="24"/>
      <c r="TEZ63" s="24"/>
      <c r="TFQ63" s="24"/>
      <c r="TFR63" s="24"/>
      <c r="TGI63" s="24"/>
      <c r="TGJ63" s="24"/>
      <c r="THA63" s="24"/>
      <c r="THB63" s="24"/>
      <c r="THS63" s="24"/>
      <c r="THT63" s="24"/>
      <c r="TIK63" s="24"/>
      <c r="TIL63" s="24"/>
      <c r="TJC63" s="24"/>
      <c r="TJD63" s="24"/>
      <c r="TJU63" s="24"/>
      <c r="TJV63" s="24"/>
      <c r="TKM63" s="24"/>
      <c r="TKN63" s="24"/>
      <c r="TLE63" s="24"/>
      <c r="TLF63" s="24"/>
      <c r="TLW63" s="24"/>
      <c r="TLX63" s="24"/>
      <c r="TMO63" s="24"/>
      <c r="TMP63" s="24"/>
      <c r="TNG63" s="24"/>
      <c r="TNH63" s="24"/>
      <c r="TNY63" s="24"/>
      <c r="TNZ63" s="24"/>
      <c r="TOQ63" s="24"/>
      <c r="TOR63" s="24"/>
      <c r="TPI63" s="24"/>
      <c r="TPJ63" s="24"/>
      <c r="TQA63" s="24"/>
      <c r="TQB63" s="24"/>
      <c r="TQS63" s="24"/>
      <c r="TQT63" s="24"/>
      <c r="TRK63" s="24"/>
      <c r="TRL63" s="24"/>
      <c r="TSC63" s="24"/>
      <c r="TSD63" s="24"/>
      <c r="TSU63" s="24"/>
      <c r="TSV63" s="24"/>
      <c r="TTM63" s="24"/>
      <c r="TTN63" s="24"/>
      <c r="TUE63" s="24"/>
      <c r="TUF63" s="24"/>
      <c r="TUW63" s="24"/>
      <c r="TUX63" s="24"/>
      <c r="TVO63" s="24"/>
      <c r="TVP63" s="24"/>
      <c r="TWG63" s="24"/>
      <c r="TWH63" s="24"/>
      <c r="TWY63" s="24"/>
      <c r="TWZ63" s="24"/>
      <c r="TXQ63" s="24"/>
      <c r="TXR63" s="24"/>
      <c r="TYI63" s="24"/>
      <c r="TYJ63" s="24"/>
      <c r="TZA63" s="24"/>
      <c r="TZB63" s="24"/>
      <c r="TZS63" s="24"/>
      <c r="TZT63" s="24"/>
      <c r="UAK63" s="24"/>
      <c r="UAL63" s="24"/>
      <c r="UBC63" s="24"/>
      <c r="UBD63" s="24"/>
      <c r="UBU63" s="24"/>
      <c r="UBV63" s="24"/>
      <c r="UCM63" s="24"/>
      <c r="UCN63" s="24"/>
      <c r="UDE63" s="24"/>
      <c r="UDF63" s="24"/>
      <c r="UDW63" s="24"/>
      <c r="UDX63" s="24"/>
      <c r="UEO63" s="24"/>
      <c r="UEP63" s="24"/>
      <c r="UFG63" s="24"/>
      <c r="UFH63" s="24"/>
      <c r="UFY63" s="24"/>
      <c r="UFZ63" s="24"/>
      <c r="UGQ63" s="24"/>
      <c r="UGR63" s="24"/>
      <c r="UHI63" s="24"/>
      <c r="UHJ63" s="24"/>
      <c r="UIA63" s="24"/>
      <c r="UIB63" s="24"/>
      <c r="UIS63" s="24"/>
      <c r="UIT63" s="24"/>
      <c r="UJK63" s="24"/>
      <c r="UJL63" s="24"/>
      <c r="UKC63" s="24"/>
      <c r="UKD63" s="24"/>
      <c r="UKU63" s="24"/>
      <c r="UKV63" s="24"/>
      <c r="ULM63" s="24"/>
      <c r="ULN63" s="24"/>
      <c r="UME63" s="24"/>
      <c r="UMF63" s="24"/>
      <c r="UMW63" s="24"/>
      <c r="UMX63" s="24"/>
      <c r="UNO63" s="24"/>
      <c r="UNP63" s="24"/>
      <c r="UOG63" s="24"/>
      <c r="UOH63" s="24"/>
      <c r="UOY63" s="24"/>
      <c r="UOZ63" s="24"/>
      <c r="UPQ63" s="24"/>
      <c r="UPR63" s="24"/>
      <c r="UQI63" s="24"/>
      <c r="UQJ63" s="24"/>
      <c r="URA63" s="24"/>
      <c r="URB63" s="24"/>
      <c r="URS63" s="24"/>
      <c r="URT63" s="24"/>
      <c r="USK63" s="24"/>
      <c r="USL63" s="24"/>
      <c r="UTC63" s="24"/>
      <c r="UTD63" s="24"/>
      <c r="UTU63" s="24"/>
      <c r="UTV63" s="24"/>
      <c r="UUM63" s="24"/>
      <c r="UUN63" s="24"/>
      <c r="UVE63" s="24"/>
      <c r="UVF63" s="24"/>
      <c r="UVW63" s="24"/>
      <c r="UVX63" s="24"/>
      <c r="UWO63" s="24"/>
      <c r="UWP63" s="24"/>
      <c r="UXG63" s="24"/>
      <c r="UXH63" s="24"/>
      <c r="UXY63" s="24"/>
      <c r="UXZ63" s="24"/>
      <c r="UYQ63" s="24"/>
      <c r="UYR63" s="24"/>
      <c r="UZI63" s="24"/>
      <c r="UZJ63" s="24"/>
      <c r="VAA63" s="24"/>
      <c r="VAB63" s="24"/>
      <c r="VAS63" s="24"/>
      <c r="VAT63" s="24"/>
      <c r="VBK63" s="24"/>
      <c r="VBL63" s="24"/>
      <c r="VCC63" s="24"/>
      <c r="VCD63" s="24"/>
      <c r="VCU63" s="24"/>
      <c r="VCV63" s="24"/>
      <c r="VDM63" s="24"/>
      <c r="VDN63" s="24"/>
      <c r="VEE63" s="24"/>
      <c r="VEF63" s="24"/>
      <c r="VEW63" s="24"/>
      <c r="VEX63" s="24"/>
      <c r="VFO63" s="24"/>
      <c r="VFP63" s="24"/>
      <c r="VGG63" s="24"/>
      <c r="VGH63" s="24"/>
      <c r="VGY63" s="24"/>
      <c r="VGZ63" s="24"/>
      <c r="VHQ63" s="24"/>
      <c r="VHR63" s="24"/>
      <c r="VII63" s="24"/>
      <c r="VIJ63" s="24"/>
      <c r="VJA63" s="24"/>
      <c r="VJB63" s="24"/>
      <c r="VJS63" s="24"/>
      <c r="VJT63" s="24"/>
      <c r="VKK63" s="24"/>
      <c r="VKL63" s="24"/>
      <c r="VLC63" s="24"/>
      <c r="VLD63" s="24"/>
      <c r="VLU63" s="24"/>
      <c r="VLV63" s="24"/>
      <c r="VMM63" s="24"/>
      <c r="VMN63" s="24"/>
      <c r="VNE63" s="24"/>
      <c r="VNF63" s="24"/>
      <c r="VNW63" s="24"/>
      <c r="VNX63" s="24"/>
      <c r="VOO63" s="24"/>
      <c r="VOP63" s="24"/>
      <c r="VPG63" s="24"/>
      <c r="VPH63" s="24"/>
      <c r="VPY63" s="24"/>
      <c r="VPZ63" s="24"/>
      <c r="VQQ63" s="24"/>
      <c r="VQR63" s="24"/>
      <c r="VRI63" s="24"/>
      <c r="VRJ63" s="24"/>
      <c r="VSA63" s="24"/>
      <c r="VSB63" s="24"/>
      <c r="VSS63" s="24"/>
      <c r="VST63" s="24"/>
      <c r="VTK63" s="24"/>
      <c r="VTL63" s="24"/>
      <c r="VUC63" s="24"/>
      <c r="VUD63" s="24"/>
      <c r="VUU63" s="24"/>
      <c r="VUV63" s="24"/>
      <c r="VVM63" s="24"/>
      <c r="VVN63" s="24"/>
      <c r="VWE63" s="24"/>
      <c r="VWF63" s="24"/>
      <c r="VWW63" s="24"/>
      <c r="VWX63" s="24"/>
      <c r="VXO63" s="24"/>
      <c r="VXP63" s="24"/>
      <c r="VYG63" s="24"/>
      <c r="VYH63" s="24"/>
      <c r="VYY63" s="24"/>
      <c r="VYZ63" s="24"/>
      <c r="VZQ63" s="24"/>
      <c r="VZR63" s="24"/>
      <c r="WAI63" s="24"/>
      <c r="WAJ63" s="24"/>
      <c r="WBA63" s="24"/>
      <c r="WBB63" s="24"/>
      <c r="WBS63" s="24"/>
      <c r="WBT63" s="24"/>
      <c r="WCK63" s="24"/>
      <c r="WCL63" s="24"/>
      <c r="WDC63" s="24"/>
      <c r="WDD63" s="24"/>
      <c r="WDU63" s="24"/>
      <c r="WDV63" s="24"/>
      <c r="WEM63" s="24"/>
      <c r="WEN63" s="24"/>
      <c r="WFE63" s="24"/>
      <c r="WFF63" s="24"/>
      <c r="WFW63" s="24"/>
      <c r="WFX63" s="24"/>
      <c r="WGO63" s="24"/>
      <c r="WGP63" s="24"/>
      <c r="WHG63" s="24"/>
      <c r="WHH63" s="24"/>
      <c r="WHY63" s="24"/>
      <c r="WHZ63" s="24"/>
      <c r="WIQ63" s="24"/>
      <c r="WIR63" s="24"/>
      <c r="WJI63" s="24"/>
      <c r="WJJ63" s="24"/>
      <c r="WKA63" s="24"/>
      <c r="WKB63" s="24"/>
      <c r="WKS63" s="24"/>
      <c r="WKT63" s="24"/>
      <c r="WLK63" s="24"/>
      <c r="WLL63" s="24"/>
      <c r="WMC63" s="24"/>
      <c r="WMD63" s="24"/>
      <c r="WMU63" s="24"/>
      <c r="WMV63" s="24"/>
      <c r="WNM63" s="24"/>
      <c r="WNN63" s="24"/>
      <c r="WOE63" s="24"/>
      <c r="WOF63" s="24"/>
      <c r="WOW63" s="24"/>
      <c r="WOX63" s="24"/>
      <c r="WPO63" s="24"/>
      <c r="WPP63" s="24"/>
      <c r="WQG63" s="24"/>
      <c r="WQH63" s="24"/>
      <c r="WQY63" s="24"/>
      <c r="WQZ63" s="24"/>
      <c r="WRQ63" s="24"/>
      <c r="WRR63" s="24"/>
      <c r="WSI63" s="24"/>
      <c r="WSJ63" s="24"/>
      <c r="WTA63" s="24"/>
      <c r="WTB63" s="24"/>
      <c r="WTS63" s="24"/>
      <c r="WTT63" s="24"/>
      <c r="WUK63" s="24"/>
      <c r="WUL63" s="24"/>
      <c r="WVC63" s="24"/>
      <c r="WVD63" s="24"/>
      <c r="WVU63" s="24"/>
      <c r="WVV63" s="24"/>
      <c r="WWM63" s="24"/>
      <c r="WWN63" s="24"/>
      <c r="WXE63" s="24"/>
      <c r="WXF63" s="24"/>
      <c r="WXW63" s="24"/>
      <c r="WXX63" s="24"/>
      <c r="WYO63" s="24"/>
      <c r="WYP63" s="24"/>
      <c r="WZG63" s="24"/>
      <c r="WZH63" s="24"/>
      <c r="WZY63" s="24"/>
      <c r="WZZ63" s="24"/>
      <c r="XAQ63" s="24"/>
      <c r="XAR63" s="24"/>
      <c r="XBI63" s="24"/>
      <c r="XBJ63" s="24"/>
      <c r="XCA63" s="24"/>
      <c r="XCB63" s="24"/>
      <c r="XCS63" s="24"/>
      <c r="XCT63" s="24"/>
      <c r="XDK63" s="24"/>
      <c r="XDL63" s="24"/>
      <c r="XEC63" s="24"/>
      <c r="XED63" s="24"/>
      <c r="XEU63" s="24"/>
      <c r="XEV63" s="24"/>
    </row>
    <row r="64" spans="1:1022 1039:2048 2065:3056 3073:4082 4099:5108 5125:6134 6151:7160 7177:8186 8203:9212 9229:10238 10255:11264 11281:12272 12289:13298 13315:14324 14341:15350 15367:16376">
      <c r="A64" s="23"/>
      <c r="B64" s="23"/>
      <c r="C64" s="23"/>
      <c r="D64" s="23"/>
      <c r="E64" s="23"/>
      <c r="I64" s="23"/>
      <c r="J64" s="23"/>
    </row>
    <row r="65" spans="1:1022 1039:2048 2065:3056 3073:4082 4099:5108 5125:6134 6151:7160 7177:8186 8203:9212 9229:10238 10255:11264 11281:12272 12289:13298 13315:14324 14341:15350 15367:16376" ht="36">
      <c r="A65" s="33" t="s">
        <v>23</v>
      </c>
      <c r="B65" s="33" t="s">
        <v>24</v>
      </c>
      <c r="C65" s="34" t="s">
        <v>25</v>
      </c>
      <c r="D65" s="12" t="s">
        <v>26</v>
      </c>
      <c r="E65" s="12" t="s">
        <v>10</v>
      </c>
      <c r="F65" s="12" t="s">
        <v>27</v>
      </c>
      <c r="G65" s="12" t="s">
        <v>28</v>
      </c>
      <c r="H65" s="12" t="s">
        <v>29</v>
      </c>
      <c r="I65" s="12" t="s">
        <v>30</v>
      </c>
      <c r="J65" s="12" t="s">
        <v>31</v>
      </c>
      <c r="K65" s="12" t="s">
        <v>32</v>
      </c>
      <c r="L65" s="12" t="s">
        <v>33</v>
      </c>
      <c r="M65" s="12" t="s">
        <v>32</v>
      </c>
      <c r="N65" s="35"/>
    </row>
    <row r="66" spans="1:1022 1039:2048 2065:3056 3073:4082 4099:5108 5125:6134 6151:7160 7177:8186 8203:9212 9229:10238 10255:11264 11281:12272 12289:13298 13315:14324 14341:15350 15367:16376" ht="15" customHeight="1">
      <c r="A66" s="167" t="s">
        <v>74</v>
      </c>
      <c r="B66" s="129">
        <v>2385.7688800000001</v>
      </c>
      <c r="C66" s="126">
        <v>3</v>
      </c>
      <c r="D66" s="153">
        <v>81.221000000000004</v>
      </c>
      <c r="E66" s="154">
        <v>753.81273999999996</v>
      </c>
      <c r="F66" s="150">
        <v>12.942500000000001</v>
      </c>
      <c r="G66" s="150">
        <v>0</v>
      </c>
      <c r="H66" s="150">
        <v>1.625</v>
      </c>
      <c r="I66" s="150">
        <v>0.3075</v>
      </c>
      <c r="J66" s="38">
        <f t="shared" ref="J66:J72" si="14">$A$6*E66/$B$66</f>
        <v>0.22528103544547864</v>
      </c>
      <c r="K66" s="82">
        <f>IF(OR(M66=O66,O66=0),O66, ROUND(O66/50,0)*50)</f>
        <v>0</v>
      </c>
      <c r="L66" s="40">
        <f>J66*K66/0.93/1000</f>
        <v>0</v>
      </c>
      <c r="M66" s="158">
        <v>1883</v>
      </c>
      <c r="N66" s="41"/>
      <c r="O66" s="79">
        <f>'Organized Data'!L23</f>
        <v>0</v>
      </c>
    </row>
    <row r="67" spans="1:1022 1039:2048 2065:3056 3073:4082 4099:5108 5125:6134 6151:7160 7177:8186 8203:9212 9229:10238 10255:11264 11281:12272 12289:13298 13315:14324 14341:15350 15367:16376" ht="15">
      <c r="A67" s="168"/>
      <c r="B67" s="132"/>
      <c r="C67" s="126">
        <v>4</v>
      </c>
      <c r="D67" s="153">
        <v>93.4191</v>
      </c>
      <c r="E67" s="154">
        <v>2615.2914999999998</v>
      </c>
      <c r="F67" s="150">
        <v>4.8723999999999998</v>
      </c>
      <c r="G67" s="150">
        <v>0</v>
      </c>
      <c r="H67" s="150">
        <v>0.61750000000000005</v>
      </c>
      <c r="I67" s="150">
        <v>0.68869999999999998</v>
      </c>
      <c r="J67" s="38">
        <f t="shared" si="14"/>
        <v>0.78159408278474973</v>
      </c>
      <c r="K67" s="82">
        <f t="shared" ref="K67:K72" si="15">IF(OR(M67=O67,O67=0),O67, ROUND(O67/50,0)*50)</f>
        <v>1892.8</v>
      </c>
      <c r="L67" s="40">
        <f t="shared" ref="L67:L72" si="16">J67*K67/0.93/1000</f>
        <v>1.5907540644031981</v>
      </c>
      <c r="M67" s="158">
        <v>1892.8</v>
      </c>
      <c r="N67" s="41"/>
      <c r="O67" s="79">
        <f>'Organized Data'!L24</f>
        <v>1892.8</v>
      </c>
    </row>
    <row r="68" spans="1:1022 1039:2048 2065:3056 3073:4082 4099:5108 5125:6134 6151:7160 7177:8186 8203:9212 9229:10238 10255:11264 11281:12272 12289:13298 13315:14324 14341:15350 15367:16376" ht="15">
      <c r="A68" s="168"/>
      <c r="B68" s="130"/>
      <c r="C68" s="126">
        <v>5</v>
      </c>
      <c r="D68" s="153">
        <v>96.265900000000002</v>
      </c>
      <c r="E68" s="154">
        <v>3545.0070799999999</v>
      </c>
      <c r="F68" s="150">
        <v>1.3994</v>
      </c>
      <c r="G68" s="150">
        <v>0</v>
      </c>
      <c r="H68" s="150">
        <v>0.3453</v>
      </c>
      <c r="I68" s="150">
        <v>1.7065999999999999</v>
      </c>
      <c r="J68" s="38">
        <f t="shared" si="14"/>
        <v>1.0594446382585054</v>
      </c>
      <c r="K68" s="82">
        <f t="shared" si="15"/>
        <v>1901.2</v>
      </c>
      <c r="L68" s="40">
        <f t="shared" si="16"/>
        <v>2.1658238131796455</v>
      </c>
      <c r="M68" s="158">
        <v>1901.2</v>
      </c>
      <c r="N68" s="41"/>
      <c r="O68" s="79">
        <f>'Organized Data'!L25</f>
        <v>1901.2</v>
      </c>
    </row>
    <row r="69" spans="1:1022 1039:2048 2065:3056 3073:4082 4099:5108 5125:6134 6151:7160 7177:8186 8203:9212 9229:10238 10255:11264 11281:12272 12289:13298 13315:14324 14341:15350 15367:16376" ht="15">
      <c r="A69" s="168"/>
      <c r="B69" s="130"/>
      <c r="C69" s="126">
        <v>6</v>
      </c>
      <c r="D69" s="153">
        <v>96.002099999999999</v>
      </c>
      <c r="E69" s="154">
        <v>1067.81348</v>
      </c>
      <c r="F69" s="150">
        <v>3.0969000000000002</v>
      </c>
      <c r="G69" s="150">
        <v>0</v>
      </c>
      <c r="H69" s="150">
        <v>0</v>
      </c>
      <c r="I69" s="150">
        <v>0.90100000000000002</v>
      </c>
      <c r="J69" s="38">
        <f t="shared" si="14"/>
        <v>0.31912186365680145</v>
      </c>
      <c r="K69" s="82">
        <f t="shared" si="15"/>
        <v>0</v>
      </c>
      <c r="L69" s="40">
        <f t="shared" si="16"/>
        <v>0</v>
      </c>
      <c r="M69" s="158">
        <v>1921.4</v>
      </c>
      <c r="N69" s="41"/>
      <c r="O69" s="79">
        <f>'Organized Data'!L26</f>
        <v>0</v>
      </c>
    </row>
    <row r="70" spans="1:1022 1039:2048 2065:3056 3073:4082 4099:5108 5125:6134 6151:7160 7177:8186 8203:9212 9229:10238 10255:11264 11281:12272 12289:13298 13315:14324 14341:15350 15367:16376" ht="15">
      <c r="A70" s="168"/>
      <c r="B70" s="130"/>
      <c r="C70" s="126">
        <v>7</v>
      </c>
      <c r="D70" s="153">
        <v>97.194900000000004</v>
      </c>
      <c r="E70" s="154">
        <v>1740.0201400000001</v>
      </c>
      <c r="F70" s="150">
        <v>1.6396999999999999</v>
      </c>
      <c r="G70" s="150">
        <v>0</v>
      </c>
      <c r="H70" s="150">
        <v>0</v>
      </c>
      <c r="I70" s="150">
        <v>1.0738000000000001</v>
      </c>
      <c r="J70" s="38">
        <f t="shared" si="14"/>
        <v>0.52001447844352799</v>
      </c>
      <c r="K70" s="82">
        <f t="shared" si="15"/>
        <v>1943.2</v>
      </c>
      <c r="L70" s="40">
        <f t="shared" si="16"/>
        <v>1.086550682270391</v>
      </c>
      <c r="M70" s="158">
        <v>1943.2</v>
      </c>
      <c r="N70" s="41"/>
      <c r="O70" s="79">
        <f>'Organized Data'!L27</f>
        <v>1943.2</v>
      </c>
    </row>
    <row r="71" spans="1:1022 1039:2048 2065:3056 3073:4082 4099:5108 5125:6134 6151:7160 7177:8186 8203:9212 9229:10238 10255:11264 11281:12272 12289:13298 13315:14324 14341:15350 15367:16376" ht="15">
      <c r="A71" s="168"/>
      <c r="B71" s="130"/>
      <c r="C71" s="126">
        <v>8</v>
      </c>
      <c r="D71" s="153">
        <v>89.352800000000002</v>
      </c>
      <c r="E71" s="154">
        <v>2262.8833</v>
      </c>
      <c r="F71" s="150">
        <v>0</v>
      </c>
      <c r="G71" s="150">
        <v>1.6165</v>
      </c>
      <c r="H71" s="150">
        <v>1.9841</v>
      </c>
      <c r="I71" s="150">
        <v>4.2685000000000004</v>
      </c>
      <c r="J71" s="38">
        <f t="shared" si="14"/>
        <v>0.67627497635060096</v>
      </c>
      <c r="K71" s="82">
        <f t="shared" si="15"/>
        <v>1891.5</v>
      </c>
      <c r="L71" s="40">
        <f>J71*K71/0.93/1000</f>
        <v>1.3754560406098513</v>
      </c>
      <c r="M71" s="158">
        <v>1891.5</v>
      </c>
      <c r="N71" s="41"/>
      <c r="O71" s="79">
        <f>'Organized Data'!L28</f>
        <v>1891.5</v>
      </c>
    </row>
    <row r="72" spans="1:1022 1039:2048 2065:3056 3073:4082 4099:5108 5125:6134 6151:7160 7177:8186 8203:9212 9229:10238 10255:11264 11281:12272 12289:13298 13315:14324 14341:15350 15367:16376" ht="15">
      <c r="A72" s="168"/>
      <c r="B72" s="131"/>
      <c r="C72" s="126">
        <v>9</v>
      </c>
      <c r="D72" s="153">
        <v>83.653099999999995</v>
      </c>
      <c r="E72" s="154">
        <v>328.81081999999998</v>
      </c>
      <c r="F72" s="150">
        <v>0</v>
      </c>
      <c r="G72" s="150">
        <v>1.3939999999999999</v>
      </c>
      <c r="H72" s="150">
        <v>2.8319000000000001</v>
      </c>
      <c r="I72" s="150">
        <v>6.2183999999999999</v>
      </c>
      <c r="J72" s="38">
        <f t="shared" si="14"/>
        <v>9.8266901134195353E-2</v>
      </c>
      <c r="K72" s="82">
        <f t="shared" si="15"/>
        <v>0</v>
      </c>
      <c r="L72" s="40">
        <f t="shared" si="16"/>
        <v>0</v>
      </c>
      <c r="M72" s="158">
        <v>1948.9</v>
      </c>
      <c r="N72" s="41"/>
      <c r="O72" s="79">
        <f>'Organized Data'!L29</f>
        <v>0</v>
      </c>
    </row>
    <row r="73" spans="1:1022 1039:2048 2065:3056 3073:4082 4099:5108 5125:6134 6151:7160 7177:8186 8203:9212 9229:10238 10255:11264 11281:12272 12289:13298 13315:14324 14341:15350 15367:16376" ht="12" customHeight="1">
      <c r="A73" s="169"/>
      <c r="B73" s="127" t="s">
        <v>34</v>
      </c>
      <c r="C73" s="128"/>
      <c r="D73" s="128"/>
      <c r="E73" s="128"/>
      <c r="F73" s="128"/>
      <c r="G73" s="128"/>
      <c r="H73" s="128"/>
      <c r="I73" s="128"/>
      <c r="J73" s="45"/>
      <c r="K73" s="46"/>
      <c r="L73" s="166">
        <f>SUM(L66:L72)</f>
        <v>6.2185846004630863</v>
      </c>
      <c r="M73" s="46"/>
      <c r="N73" s="47"/>
    </row>
    <row r="74" spans="1:1022 1039:2048 2065:3056 3073:4082 4099:5108 5125:6134 6151:7160 7177:8186 8203:9212 9229:10238 10255:11264 11281:12272 12289:13298 13315:14324 14341:15350 15367:16376">
      <c r="A74" s="24"/>
      <c r="B74" s="24"/>
      <c r="O74" s="24"/>
      <c r="AE74" s="24"/>
      <c r="AF74" s="24"/>
      <c r="AW74" s="24"/>
      <c r="AX74" s="24"/>
      <c r="BO74" s="24"/>
      <c r="BP74" s="24"/>
      <c r="CG74" s="24"/>
      <c r="CH74" s="24"/>
      <c r="CY74" s="24"/>
      <c r="CZ74" s="24"/>
      <c r="DQ74" s="24"/>
      <c r="DR74" s="24"/>
      <c r="EI74" s="24"/>
      <c r="EJ74" s="24"/>
      <c r="FA74" s="24"/>
      <c r="FB74" s="24"/>
      <c r="FS74" s="24"/>
      <c r="FT74" s="24"/>
      <c r="GK74" s="24"/>
      <c r="GL74" s="24"/>
      <c r="HC74" s="24"/>
      <c r="HD74" s="24"/>
      <c r="HU74" s="24"/>
      <c r="HV74" s="24"/>
      <c r="IM74" s="24"/>
      <c r="IN74" s="24"/>
      <c r="JE74" s="24"/>
      <c r="JF74" s="24"/>
      <c r="JW74" s="24"/>
      <c r="JX74" s="24"/>
      <c r="KO74" s="24"/>
      <c r="KP74" s="24"/>
      <c r="LG74" s="24"/>
      <c r="LH74" s="24"/>
      <c r="LY74" s="24"/>
      <c r="LZ74" s="24"/>
      <c r="MQ74" s="24"/>
      <c r="MR74" s="24"/>
      <c r="NI74" s="24"/>
      <c r="NJ74" s="24"/>
      <c r="OA74" s="24"/>
      <c r="OB74" s="24"/>
      <c r="OS74" s="24"/>
      <c r="OT74" s="24"/>
      <c r="PK74" s="24"/>
      <c r="PL74" s="24"/>
      <c r="QC74" s="24"/>
      <c r="QD74" s="24"/>
      <c r="QU74" s="24"/>
      <c r="QV74" s="24"/>
      <c r="RM74" s="24"/>
      <c r="RN74" s="24"/>
      <c r="SE74" s="24"/>
      <c r="SF74" s="24"/>
      <c r="SW74" s="24"/>
      <c r="SX74" s="24"/>
      <c r="TO74" s="24"/>
      <c r="TP74" s="24"/>
      <c r="UG74" s="24"/>
      <c r="UH74" s="24"/>
      <c r="UY74" s="24"/>
      <c r="UZ74" s="24"/>
      <c r="VQ74" s="24"/>
      <c r="VR74" s="24"/>
      <c r="WI74" s="24"/>
      <c r="WJ74" s="24"/>
      <c r="XA74" s="24"/>
      <c r="XB74" s="24"/>
      <c r="XS74" s="24"/>
      <c r="XT74" s="24"/>
      <c r="YK74" s="24"/>
      <c r="YL74" s="24"/>
      <c r="ZC74" s="24"/>
      <c r="ZD74" s="24"/>
      <c r="ZU74" s="24"/>
      <c r="ZV74" s="24"/>
      <c r="AAM74" s="24"/>
      <c r="AAN74" s="24"/>
      <c r="ABE74" s="24"/>
      <c r="ABF74" s="24"/>
      <c r="ABW74" s="24"/>
      <c r="ABX74" s="24"/>
      <c r="ACO74" s="24"/>
      <c r="ACP74" s="24"/>
      <c r="ADG74" s="24"/>
      <c r="ADH74" s="24"/>
      <c r="ADY74" s="24"/>
      <c r="ADZ74" s="24"/>
      <c r="AEQ74" s="24"/>
      <c r="AER74" s="24"/>
      <c r="AFI74" s="24"/>
      <c r="AFJ74" s="24"/>
      <c r="AGA74" s="24"/>
      <c r="AGB74" s="24"/>
      <c r="AGS74" s="24"/>
      <c r="AGT74" s="24"/>
      <c r="AHK74" s="24"/>
      <c r="AHL74" s="24"/>
      <c r="AIC74" s="24"/>
      <c r="AID74" s="24"/>
      <c r="AIU74" s="24"/>
      <c r="AIV74" s="24"/>
      <c r="AJM74" s="24"/>
      <c r="AJN74" s="24"/>
      <c r="AKE74" s="24"/>
      <c r="AKF74" s="24"/>
      <c r="AKW74" s="24"/>
      <c r="AKX74" s="24"/>
      <c r="ALO74" s="24"/>
      <c r="ALP74" s="24"/>
      <c r="AMG74" s="24"/>
      <c r="AMH74" s="24"/>
      <c r="AMY74" s="24"/>
      <c r="AMZ74" s="24"/>
      <c r="ANQ74" s="24"/>
      <c r="ANR74" s="24"/>
      <c r="AOI74" s="24"/>
      <c r="AOJ74" s="24"/>
      <c r="APA74" s="24"/>
      <c r="APB74" s="24"/>
      <c r="APS74" s="24"/>
      <c r="APT74" s="24"/>
      <c r="AQK74" s="24"/>
      <c r="AQL74" s="24"/>
      <c r="ARC74" s="24"/>
      <c r="ARD74" s="24"/>
      <c r="ARU74" s="24"/>
      <c r="ARV74" s="24"/>
      <c r="ASM74" s="24"/>
      <c r="ASN74" s="24"/>
      <c r="ATE74" s="24"/>
      <c r="ATF74" s="24"/>
      <c r="ATW74" s="24"/>
      <c r="ATX74" s="24"/>
      <c r="AUO74" s="24"/>
      <c r="AUP74" s="24"/>
      <c r="AVG74" s="24"/>
      <c r="AVH74" s="24"/>
      <c r="AVY74" s="24"/>
      <c r="AVZ74" s="24"/>
      <c r="AWQ74" s="24"/>
      <c r="AWR74" s="24"/>
      <c r="AXI74" s="24"/>
      <c r="AXJ74" s="24"/>
      <c r="AYA74" s="24"/>
      <c r="AYB74" s="24"/>
      <c r="AYS74" s="24"/>
      <c r="AYT74" s="24"/>
      <c r="AZK74" s="24"/>
      <c r="AZL74" s="24"/>
      <c r="BAC74" s="24"/>
      <c r="BAD74" s="24"/>
      <c r="BAU74" s="24"/>
      <c r="BAV74" s="24"/>
      <c r="BBM74" s="24"/>
      <c r="BBN74" s="24"/>
      <c r="BCE74" s="24"/>
      <c r="BCF74" s="24"/>
      <c r="BCW74" s="24"/>
      <c r="BCX74" s="24"/>
      <c r="BDO74" s="24"/>
      <c r="BDP74" s="24"/>
      <c r="BEG74" s="24"/>
      <c r="BEH74" s="24"/>
      <c r="BEY74" s="24"/>
      <c r="BEZ74" s="24"/>
      <c r="BFQ74" s="24"/>
      <c r="BFR74" s="24"/>
      <c r="BGI74" s="24"/>
      <c r="BGJ74" s="24"/>
      <c r="BHA74" s="24"/>
      <c r="BHB74" s="24"/>
      <c r="BHS74" s="24"/>
      <c r="BHT74" s="24"/>
      <c r="BIK74" s="24"/>
      <c r="BIL74" s="24"/>
      <c r="BJC74" s="24"/>
      <c r="BJD74" s="24"/>
      <c r="BJU74" s="24"/>
      <c r="BJV74" s="24"/>
      <c r="BKM74" s="24"/>
      <c r="BKN74" s="24"/>
      <c r="BLE74" s="24"/>
      <c r="BLF74" s="24"/>
      <c r="BLW74" s="24"/>
      <c r="BLX74" s="24"/>
      <c r="BMO74" s="24"/>
      <c r="BMP74" s="24"/>
      <c r="BNG74" s="24"/>
      <c r="BNH74" s="24"/>
      <c r="BNY74" s="24"/>
      <c r="BNZ74" s="24"/>
      <c r="BOQ74" s="24"/>
      <c r="BOR74" s="24"/>
      <c r="BPI74" s="24"/>
      <c r="BPJ74" s="24"/>
      <c r="BQA74" s="24"/>
      <c r="BQB74" s="24"/>
      <c r="BQS74" s="24"/>
      <c r="BQT74" s="24"/>
      <c r="BRK74" s="24"/>
      <c r="BRL74" s="24"/>
      <c r="BSC74" s="24"/>
      <c r="BSD74" s="24"/>
      <c r="BSU74" s="24"/>
      <c r="BSV74" s="24"/>
      <c r="BTM74" s="24"/>
      <c r="BTN74" s="24"/>
      <c r="BUE74" s="24"/>
      <c r="BUF74" s="24"/>
      <c r="BUW74" s="24"/>
      <c r="BUX74" s="24"/>
      <c r="BVO74" s="24"/>
      <c r="BVP74" s="24"/>
      <c r="BWG74" s="24"/>
      <c r="BWH74" s="24"/>
      <c r="BWY74" s="24"/>
      <c r="BWZ74" s="24"/>
      <c r="BXQ74" s="24"/>
      <c r="BXR74" s="24"/>
      <c r="BYI74" s="24"/>
      <c r="BYJ74" s="24"/>
      <c r="BZA74" s="24"/>
      <c r="BZB74" s="24"/>
      <c r="BZS74" s="24"/>
      <c r="BZT74" s="24"/>
      <c r="CAK74" s="24"/>
      <c r="CAL74" s="24"/>
      <c r="CBC74" s="24"/>
      <c r="CBD74" s="24"/>
      <c r="CBU74" s="24"/>
      <c r="CBV74" s="24"/>
      <c r="CCM74" s="24"/>
      <c r="CCN74" s="24"/>
      <c r="CDE74" s="24"/>
      <c r="CDF74" s="24"/>
      <c r="CDW74" s="24"/>
      <c r="CDX74" s="24"/>
      <c r="CEO74" s="24"/>
      <c r="CEP74" s="24"/>
      <c r="CFG74" s="24"/>
      <c r="CFH74" s="24"/>
      <c r="CFY74" s="24"/>
      <c r="CFZ74" s="24"/>
      <c r="CGQ74" s="24"/>
      <c r="CGR74" s="24"/>
      <c r="CHI74" s="24"/>
      <c r="CHJ74" s="24"/>
      <c r="CIA74" s="24"/>
      <c r="CIB74" s="24"/>
      <c r="CIS74" s="24"/>
      <c r="CIT74" s="24"/>
      <c r="CJK74" s="24"/>
      <c r="CJL74" s="24"/>
      <c r="CKC74" s="24"/>
      <c r="CKD74" s="24"/>
      <c r="CKU74" s="24"/>
      <c r="CKV74" s="24"/>
      <c r="CLM74" s="24"/>
      <c r="CLN74" s="24"/>
      <c r="CME74" s="24"/>
      <c r="CMF74" s="24"/>
      <c r="CMW74" s="24"/>
      <c r="CMX74" s="24"/>
      <c r="CNO74" s="24"/>
      <c r="CNP74" s="24"/>
      <c r="COG74" s="24"/>
      <c r="COH74" s="24"/>
      <c r="COY74" s="24"/>
      <c r="COZ74" s="24"/>
      <c r="CPQ74" s="24"/>
      <c r="CPR74" s="24"/>
      <c r="CQI74" s="24"/>
      <c r="CQJ74" s="24"/>
      <c r="CRA74" s="24"/>
      <c r="CRB74" s="24"/>
      <c r="CRS74" s="24"/>
      <c r="CRT74" s="24"/>
      <c r="CSK74" s="24"/>
      <c r="CSL74" s="24"/>
      <c r="CTC74" s="24"/>
      <c r="CTD74" s="24"/>
      <c r="CTU74" s="24"/>
      <c r="CTV74" s="24"/>
      <c r="CUM74" s="24"/>
      <c r="CUN74" s="24"/>
      <c r="CVE74" s="24"/>
      <c r="CVF74" s="24"/>
      <c r="CVW74" s="24"/>
      <c r="CVX74" s="24"/>
      <c r="CWO74" s="24"/>
      <c r="CWP74" s="24"/>
      <c r="CXG74" s="24"/>
      <c r="CXH74" s="24"/>
      <c r="CXY74" s="24"/>
      <c r="CXZ74" s="24"/>
      <c r="CYQ74" s="24"/>
      <c r="CYR74" s="24"/>
      <c r="CZI74" s="24"/>
      <c r="CZJ74" s="24"/>
      <c r="DAA74" s="24"/>
      <c r="DAB74" s="24"/>
      <c r="DAS74" s="24"/>
      <c r="DAT74" s="24"/>
      <c r="DBK74" s="24"/>
      <c r="DBL74" s="24"/>
      <c r="DCC74" s="24"/>
      <c r="DCD74" s="24"/>
      <c r="DCU74" s="24"/>
      <c r="DCV74" s="24"/>
      <c r="DDM74" s="24"/>
      <c r="DDN74" s="24"/>
      <c r="DEE74" s="24"/>
      <c r="DEF74" s="24"/>
      <c r="DEW74" s="24"/>
      <c r="DEX74" s="24"/>
      <c r="DFO74" s="24"/>
      <c r="DFP74" s="24"/>
      <c r="DGG74" s="24"/>
      <c r="DGH74" s="24"/>
      <c r="DGY74" s="24"/>
      <c r="DGZ74" s="24"/>
      <c r="DHQ74" s="24"/>
      <c r="DHR74" s="24"/>
      <c r="DII74" s="24"/>
      <c r="DIJ74" s="24"/>
      <c r="DJA74" s="24"/>
      <c r="DJB74" s="24"/>
      <c r="DJS74" s="24"/>
      <c r="DJT74" s="24"/>
      <c r="DKK74" s="24"/>
      <c r="DKL74" s="24"/>
      <c r="DLC74" s="24"/>
      <c r="DLD74" s="24"/>
      <c r="DLU74" s="24"/>
      <c r="DLV74" s="24"/>
      <c r="DMM74" s="24"/>
      <c r="DMN74" s="24"/>
      <c r="DNE74" s="24"/>
      <c r="DNF74" s="24"/>
      <c r="DNW74" s="24"/>
      <c r="DNX74" s="24"/>
      <c r="DOO74" s="24"/>
      <c r="DOP74" s="24"/>
      <c r="DPG74" s="24"/>
      <c r="DPH74" s="24"/>
      <c r="DPY74" s="24"/>
      <c r="DPZ74" s="24"/>
      <c r="DQQ74" s="24"/>
      <c r="DQR74" s="24"/>
      <c r="DRI74" s="24"/>
      <c r="DRJ74" s="24"/>
      <c r="DSA74" s="24"/>
      <c r="DSB74" s="24"/>
      <c r="DSS74" s="24"/>
      <c r="DST74" s="24"/>
      <c r="DTK74" s="24"/>
      <c r="DTL74" s="24"/>
      <c r="DUC74" s="24"/>
      <c r="DUD74" s="24"/>
      <c r="DUU74" s="24"/>
      <c r="DUV74" s="24"/>
      <c r="DVM74" s="24"/>
      <c r="DVN74" s="24"/>
      <c r="DWE74" s="24"/>
      <c r="DWF74" s="24"/>
      <c r="DWW74" s="24"/>
      <c r="DWX74" s="24"/>
      <c r="DXO74" s="24"/>
      <c r="DXP74" s="24"/>
      <c r="DYG74" s="24"/>
      <c r="DYH74" s="24"/>
      <c r="DYY74" s="24"/>
      <c r="DYZ74" s="24"/>
      <c r="DZQ74" s="24"/>
      <c r="DZR74" s="24"/>
      <c r="EAI74" s="24"/>
      <c r="EAJ74" s="24"/>
      <c r="EBA74" s="24"/>
      <c r="EBB74" s="24"/>
      <c r="EBS74" s="24"/>
      <c r="EBT74" s="24"/>
      <c r="ECK74" s="24"/>
      <c r="ECL74" s="24"/>
      <c r="EDC74" s="24"/>
      <c r="EDD74" s="24"/>
      <c r="EDU74" s="24"/>
      <c r="EDV74" s="24"/>
      <c r="EEM74" s="24"/>
      <c r="EEN74" s="24"/>
      <c r="EFE74" s="24"/>
      <c r="EFF74" s="24"/>
      <c r="EFW74" s="24"/>
      <c r="EFX74" s="24"/>
      <c r="EGO74" s="24"/>
      <c r="EGP74" s="24"/>
      <c r="EHG74" s="24"/>
      <c r="EHH74" s="24"/>
      <c r="EHY74" s="24"/>
      <c r="EHZ74" s="24"/>
      <c r="EIQ74" s="24"/>
      <c r="EIR74" s="24"/>
      <c r="EJI74" s="24"/>
      <c r="EJJ74" s="24"/>
      <c r="EKA74" s="24"/>
      <c r="EKB74" s="24"/>
      <c r="EKS74" s="24"/>
      <c r="EKT74" s="24"/>
      <c r="ELK74" s="24"/>
      <c r="ELL74" s="24"/>
      <c r="EMC74" s="24"/>
      <c r="EMD74" s="24"/>
      <c r="EMU74" s="24"/>
      <c r="EMV74" s="24"/>
      <c r="ENM74" s="24"/>
      <c r="ENN74" s="24"/>
      <c r="EOE74" s="24"/>
      <c r="EOF74" s="24"/>
      <c r="EOW74" s="24"/>
      <c r="EOX74" s="24"/>
      <c r="EPO74" s="24"/>
      <c r="EPP74" s="24"/>
      <c r="EQG74" s="24"/>
      <c r="EQH74" s="24"/>
      <c r="EQY74" s="24"/>
      <c r="EQZ74" s="24"/>
      <c r="ERQ74" s="24"/>
      <c r="ERR74" s="24"/>
      <c r="ESI74" s="24"/>
      <c r="ESJ74" s="24"/>
      <c r="ETA74" s="24"/>
      <c r="ETB74" s="24"/>
      <c r="ETS74" s="24"/>
      <c r="ETT74" s="24"/>
      <c r="EUK74" s="24"/>
      <c r="EUL74" s="24"/>
      <c r="EVC74" s="24"/>
      <c r="EVD74" s="24"/>
      <c r="EVU74" s="24"/>
      <c r="EVV74" s="24"/>
      <c r="EWM74" s="24"/>
      <c r="EWN74" s="24"/>
      <c r="EXE74" s="24"/>
      <c r="EXF74" s="24"/>
      <c r="EXW74" s="24"/>
      <c r="EXX74" s="24"/>
      <c r="EYO74" s="24"/>
      <c r="EYP74" s="24"/>
      <c r="EZG74" s="24"/>
      <c r="EZH74" s="24"/>
      <c r="EZY74" s="24"/>
      <c r="EZZ74" s="24"/>
      <c r="FAQ74" s="24"/>
      <c r="FAR74" s="24"/>
      <c r="FBI74" s="24"/>
      <c r="FBJ74" s="24"/>
      <c r="FCA74" s="24"/>
      <c r="FCB74" s="24"/>
      <c r="FCS74" s="24"/>
      <c r="FCT74" s="24"/>
      <c r="FDK74" s="24"/>
      <c r="FDL74" s="24"/>
      <c r="FEC74" s="24"/>
      <c r="FED74" s="24"/>
      <c r="FEU74" s="24"/>
      <c r="FEV74" s="24"/>
      <c r="FFM74" s="24"/>
      <c r="FFN74" s="24"/>
      <c r="FGE74" s="24"/>
      <c r="FGF74" s="24"/>
      <c r="FGW74" s="24"/>
      <c r="FGX74" s="24"/>
      <c r="FHO74" s="24"/>
      <c r="FHP74" s="24"/>
      <c r="FIG74" s="24"/>
      <c r="FIH74" s="24"/>
      <c r="FIY74" s="24"/>
      <c r="FIZ74" s="24"/>
      <c r="FJQ74" s="24"/>
      <c r="FJR74" s="24"/>
      <c r="FKI74" s="24"/>
      <c r="FKJ74" s="24"/>
      <c r="FLA74" s="24"/>
      <c r="FLB74" s="24"/>
      <c r="FLS74" s="24"/>
      <c r="FLT74" s="24"/>
      <c r="FMK74" s="24"/>
      <c r="FML74" s="24"/>
      <c r="FNC74" s="24"/>
      <c r="FND74" s="24"/>
      <c r="FNU74" s="24"/>
      <c r="FNV74" s="24"/>
      <c r="FOM74" s="24"/>
      <c r="FON74" s="24"/>
      <c r="FPE74" s="24"/>
      <c r="FPF74" s="24"/>
      <c r="FPW74" s="24"/>
      <c r="FPX74" s="24"/>
      <c r="FQO74" s="24"/>
      <c r="FQP74" s="24"/>
      <c r="FRG74" s="24"/>
      <c r="FRH74" s="24"/>
      <c r="FRY74" s="24"/>
      <c r="FRZ74" s="24"/>
      <c r="FSQ74" s="24"/>
      <c r="FSR74" s="24"/>
      <c r="FTI74" s="24"/>
      <c r="FTJ74" s="24"/>
      <c r="FUA74" s="24"/>
      <c r="FUB74" s="24"/>
      <c r="FUS74" s="24"/>
      <c r="FUT74" s="24"/>
      <c r="FVK74" s="24"/>
      <c r="FVL74" s="24"/>
      <c r="FWC74" s="24"/>
      <c r="FWD74" s="24"/>
      <c r="FWU74" s="24"/>
      <c r="FWV74" s="24"/>
      <c r="FXM74" s="24"/>
      <c r="FXN74" s="24"/>
      <c r="FYE74" s="24"/>
      <c r="FYF74" s="24"/>
      <c r="FYW74" s="24"/>
      <c r="FYX74" s="24"/>
      <c r="FZO74" s="24"/>
      <c r="FZP74" s="24"/>
      <c r="GAG74" s="24"/>
      <c r="GAH74" s="24"/>
      <c r="GAY74" s="24"/>
      <c r="GAZ74" s="24"/>
      <c r="GBQ74" s="24"/>
      <c r="GBR74" s="24"/>
      <c r="GCI74" s="24"/>
      <c r="GCJ74" s="24"/>
      <c r="GDA74" s="24"/>
      <c r="GDB74" s="24"/>
      <c r="GDS74" s="24"/>
      <c r="GDT74" s="24"/>
      <c r="GEK74" s="24"/>
      <c r="GEL74" s="24"/>
      <c r="GFC74" s="24"/>
      <c r="GFD74" s="24"/>
      <c r="GFU74" s="24"/>
      <c r="GFV74" s="24"/>
      <c r="GGM74" s="24"/>
      <c r="GGN74" s="24"/>
      <c r="GHE74" s="24"/>
      <c r="GHF74" s="24"/>
      <c r="GHW74" s="24"/>
      <c r="GHX74" s="24"/>
      <c r="GIO74" s="24"/>
      <c r="GIP74" s="24"/>
      <c r="GJG74" s="24"/>
      <c r="GJH74" s="24"/>
      <c r="GJY74" s="24"/>
      <c r="GJZ74" s="24"/>
      <c r="GKQ74" s="24"/>
      <c r="GKR74" s="24"/>
      <c r="GLI74" s="24"/>
      <c r="GLJ74" s="24"/>
      <c r="GMA74" s="24"/>
      <c r="GMB74" s="24"/>
      <c r="GMS74" s="24"/>
      <c r="GMT74" s="24"/>
      <c r="GNK74" s="24"/>
      <c r="GNL74" s="24"/>
      <c r="GOC74" s="24"/>
      <c r="GOD74" s="24"/>
      <c r="GOU74" s="24"/>
      <c r="GOV74" s="24"/>
      <c r="GPM74" s="24"/>
      <c r="GPN74" s="24"/>
      <c r="GQE74" s="24"/>
      <c r="GQF74" s="24"/>
      <c r="GQW74" s="24"/>
      <c r="GQX74" s="24"/>
      <c r="GRO74" s="24"/>
      <c r="GRP74" s="24"/>
      <c r="GSG74" s="24"/>
      <c r="GSH74" s="24"/>
      <c r="GSY74" s="24"/>
      <c r="GSZ74" s="24"/>
      <c r="GTQ74" s="24"/>
      <c r="GTR74" s="24"/>
      <c r="GUI74" s="24"/>
      <c r="GUJ74" s="24"/>
      <c r="GVA74" s="24"/>
      <c r="GVB74" s="24"/>
      <c r="GVS74" s="24"/>
      <c r="GVT74" s="24"/>
      <c r="GWK74" s="24"/>
      <c r="GWL74" s="24"/>
      <c r="GXC74" s="24"/>
      <c r="GXD74" s="24"/>
      <c r="GXU74" s="24"/>
      <c r="GXV74" s="24"/>
      <c r="GYM74" s="24"/>
      <c r="GYN74" s="24"/>
      <c r="GZE74" s="24"/>
      <c r="GZF74" s="24"/>
      <c r="GZW74" s="24"/>
      <c r="GZX74" s="24"/>
      <c r="HAO74" s="24"/>
      <c r="HAP74" s="24"/>
      <c r="HBG74" s="24"/>
      <c r="HBH74" s="24"/>
      <c r="HBY74" s="24"/>
      <c r="HBZ74" s="24"/>
      <c r="HCQ74" s="24"/>
      <c r="HCR74" s="24"/>
      <c r="HDI74" s="24"/>
      <c r="HDJ74" s="24"/>
      <c r="HEA74" s="24"/>
      <c r="HEB74" s="24"/>
      <c r="HES74" s="24"/>
      <c r="HET74" s="24"/>
      <c r="HFK74" s="24"/>
      <c r="HFL74" s="24"/>
      <c r="HGC74" s="24"/>
      <c r="HGD74" s="24"/>
      <c r="HGU74" s="24"/>
      <c r="HGV74" s="24"/>
      <c r="HHM74" s="24"/>
      <c r="HHN74" s="24"/>
      <c r="HIE74" s="24"/>
      <c r="HIF74" s="24"/>
      <c r="HIW74" s="24"/>
      <c r="HIX74" s="24"/>
      <c r="HJO74" s="24"/>
      <c r="HJP74" s="24"/>
      <c r="HKG74" s="24"/>
      <c r="HKH74" s="24"/>
      <c r="HKY74" s="24"/>
      <c r="HKZ74" s="24"/>
      <c r="HLQ74" s="24"/>
      <c r="HLR74" s="24"/>
      <c r="HMI74" s="24"/>
      <c r="HMJ74" s="24"/>
      <c r="HNA74" s="24"/>
      <c r="HNB74" s="24"/>
      <c r="HNS74" s="24"/>
      <c r="HNT74" s="24"/>
      <c r="HOK74" s="24"/>
      <c r="HOL74" s="24"/>
      <c r="HPC74" s="24"/>
      <c r="HPD74" s="24"/>
      <c r="HPU74" s="24"/>
      <c r="HPV74" s="24"/>
      <c r="HQM74" s="24"/>
      <c r="HQN74" s="24"/>
      <c r="HRE74" s="24"/>
      <c r="HRF74" s="24"/>
      <c r="HRW74" s="24"/>
      <c r="HRX74" s="24"/>
      <c r="HSO74" s="24"/>
      <c r="HSP74" s="24"/>
      <c r="HTG74" s="24"/>
      <c r="HTH74" s="24"/>
      <c r="HTY74" s="24"/>
      <c r="HTZ74" s="24"/>
      <c r="HUQ74" s="24"/>
      <c r="HUR74" s="24"/>
      <c r="HVI74" s="24"/>
      <c r="HVJ74" s="24"/>
      <c r="HWA74" s="24"/>
      <c r="HWB74" s="24"/>
      <c r="HWS74" s="24"/>
      <c r="HWT74" s="24"/>
      <c r="HXK74" s="24"/>
      <c r="HXL74" s="24"/>
      <c r="HYC74" s="24"/>
      <c r="HYD74" s="24"/>
      <c r="HYU74" s="24"/>
      <c r="HYV74" s="24"/>
      <c r="HZM74" s="24"/>
      <c r="HZN74" s="24"/>
      <c r="IAE74" s="24"/>
      <c r="IAF74" s="24"/>
      <c r="IAW74" s="24"/>
      <c r="IAX74" s="24"/>
      <c r="IBO74" s="24"/>
      <c r="IBP74" s="24"/>
      <c r="ICG74" s="24"/>
      <c r="ICH74" s="24"/>
      <c r="ICY74" s="24"/>
      <c r="ICZ74" s="24"/>
      <c r="IDQ74" s="24"/>
      <c r="IDR74" s="24"/>
      <c r="IEI74" s="24"/>
      <c r="IEJ74" s="24"/>
      <c r="IFA74" s="24"/>
      <c r="IFB74" s="24"/>
      <c r="IFS74" s="24"/>
      <c r="IFT74" s="24"/>
      <c r="IGK74" s="24"/>
      <c r="IGL74" s="24"/>
      <c r="IHC74" s="24"/>
      <c r="IHD74" s="24"/>
      <c r="IHU74" s="24"/>
      <c r="IHV74" s="24"/>
      <c r="IIM74" s="24"/>
      <c r="IIN74" s="24"/>
      <c r="IJE74" s="24"/>
      <c r="IJF74" s="24"/>
      <c r="IJW74" s="24"/>
      <c r="IJX74" s="24"/>
      <c r="IKO74" s="24"/>
      <c r="IKP74" s="24"/>
      <c r="ILG74" s="24"/>
      <c r="ILH74" s="24"/>
      <c r="ILY74" s="24"/>
      <c r="ILZ74" s="24"/>
      <c r="IMQ74" s="24"/>
      <c r="IMR74" s="24"/>
      <c r="INI74" s="24"/>
      <c r="INJ74" s="24"/>
      <c r="IOA74" s="24"/>
      <c r="IOB74" s="24"/>
      <c r="IOS74" s="24"/>
      <c r="IOT74" s="24"/>
      <c r="IPK74" s="24"/>
      <c r="IPL74" s="24"/>
      <c r="IQC74" s="24"/>
      <c r="IQD74" s="24"/>
      <c r="IQU74" s="24"/>
      <c r="IQV74" s="24"/>
      <c r="IRM74" s="24"/>
      <c r="IRN74" s="24"/>
      <c r="ISE74" s="24"/>
      <c r="ISF74" s="24"/>
      <c r="ISW74" s="24"/>
      <c r="ISX74" s="24"/>
      <c r="ITO74" s="24"/>
      <c r="ITP74" s="24"/>
      <c r="IUG74" s="24"/>
      <c r="IUH74" s="24"/>
      <c r="IUY74" s="24"/>
      <c r="IUZ74" s="24"/>
      <c r="IVQ74" s="24"/>
      <c r="IVR74" s="24"/>
      <c r="IWI74" s="24"/>
      <c r="IWJ74" s="24"/>
      <c r="IXA74" s="24"/>
      <c r="IXB74" s="24"/>
      <c r="IXS74" s="24"/>
      <c r="IXT74" s="24"/>
      <c r="IYK74" s="24"/>
      <c r="IYL74" s="24"/>
      <c r="IZC74" s="24"/>
      <c r="IZD74" s="24"/>
      <c r="IZU74" s="24"/>
      <c r="IZV74" s="24"/>
      <c r="JAM74" s="24"/>
      <c r="JAN74" s="24"/>
      <c r="JBE74" s="24"/>
      <c r="JBF74" s="24"/>
      <c r="JBW74" s="24"/>
      <c r="JBX74" s="24"/>
      <c r="JCO74" s="24"/>
      <c r="JCP74" s="24"/>
      <c r="JDG74" s="24"/>
      <c r="JDH74" s="24"/>
      <c r="JDY74" s="24"/>
      <c r="JDZ74" s="24"/>
      <c r="JEQ74" s="24"/>
      <c r="JER74" s="24"/>
      <c r="JFI74" s="24"/>
      <c r="JFJ74" s="24"/>
      <c r="JGA74" s="24"/>
      <c r="JGB74" s="24"/>
      <c r="JGS74" s="24"/>
      <c r="JGT74" s="24"/>
      <c r="JHK74" s="24"/>
      <c r="JHL74" s="24"/>
      <c r="JIC74" s="24"/>
      <c r="JID74" s="24"/>
      <c r="JIU74" s="24"/>
      <c r="JIV74" s="24"/>
      <c r="JJM74" s="24"/>
      <c r="JJN74" s="24"/>
      <c r="JKE74" s="24"/>
      <c r="JKF74" s="24"/>
      <c r="JKW74" s="24"/>
      <c r="JKX74" s="24"/>
      <c r="JLO74" s="24"/>
      <c r="JLP74" s="24"/>
      <c r="JMG74" s="24"/>
      <c r="JMH74" s="24"/>
      <c r="JMY74" s="24"/>
      <c r="JMZ74" s="24"/>
      <c r="JNQ74" s="24"/>
      <c r="JNR74" s="24"/>
      <c r="JOI74" s="24"/>
      <c r="JOJ74" s="24"/>
      <c r="JPA74" s="24"/>
      <c r="JPB74" s="24"/>
      <c r="JPS74" s="24"/>
      <c r="JPT74" s="24"/>
      <c r="JQK74" s="24"/>
      <c r="JQL74" s="24"/>
      <c r="JRC74" s="24"/>
      <c r="JRD74" s="24"/>
      <c r="JRU74" s="24"/>
      <c r="JRV74" s="24"/>
      <c r="JSM74" s="24"/>
      <c r="JSN74" s="24"/>
      <c r="JTE74" s="24"/>
      <c r="JTF74" s="24"/>
      <c r="JTW74" s="24"/>
      <c r="JTX74" s="24"/>
      <c r="JUO74" s="24"/>
      <c r="JUP74" s="24"/>
      <c r="JVG74" s="24"/>
      <c r="JVH74" s="24"/>
      <c r="JVY74" s="24"/>
      <c r="JVZ74" s="24"/>
      <c r="JWQ74" s="24"/>
      <c r="JWR74" s="24"/>
      <c r="JXI74" s="24"/>
      <c r="JXJ74" s="24"/>
      <c r="JYA74" s="24"/>
      <c r="JYB74" s="24"/>
      <c r="JYS74" s="24"/>
      <c r="JYT74" s="24"/>
      <c r="JZK74" s="24"/>
      <c r="JZL74" s="24"/>
      <c r="KAC74" s="24"/>
      <c r="KAD74" s="24"/>
      <c r="KAU74" s="24"/>
      <c r="KAV74" s="24"/>
      <c r="KBM74" s="24"/>
      <c r="KBN74" s="24"/>
      <c r="KCE74" s="24"/>
      <c r="KCF74" s="24"/>
      <c r="KCW74" s="24"/>
      <c r="KCX74" s="24"/>
      <c r="KDO74" s="24"/>
      <c r="KDP74" s="24"/>
      <c r="KEG74" s="24"/>
      <c r="KEH74" s="24"/>
      <c r="KEY74" s="24"/>
      <c r="KEZ74" s="24"/>
      <c r="KFQ74" s="24"/>
      <c r="KFR74" s="24"/>
      <c r="KGI74" s="24"/>
      <c r="KGJ74" s="24"/>
      <c r="KHA74" s="24"/>
      <c r="KHB74" s="24"/>
      <c r="KHS74" s="24"/>
      <c r="KHT74" s="24"/>
      <c r="KIK74" s="24"/>
      <c r="KIL74" s="24"/>
      <c r="KJC74" s="24"/>
      <c r="KJD74" s="24"/>
      <c r="KJU74" s="24"/>
      <c r="KJV74" s="24"/>
      <c r="KKM74" s="24"/>
      <c r="KKN74" s="24"/>
      <c r="KLE74" s="24"/>
      <c r="KLF74" s="24"/>
      <c r="KLW74" s="24"/>
      <c r="KLX74" s="24"/>
      <c r="KMO74" s="24"/>
      <c r="KMP74" s="24"/>
      <c r="KNG74" s="24"/>
      <c r="KNH74" s="24"/>
      <c r="KNY74" s="24"/>
      <c r="KNZ74" s="24"/>
      <c r="KOQ74" s="24"/>
      <c r="KOR74" s="24"/>
      <c r="KPI74" s="24"/>
      <c r="KPJ74" s="24"/>
      <c r="KQA74" s="24"/>
      <c r="KQB74" s="24"/>
      <c r="KQS74" s="24"/>
      <c r="KQT74" s="24"/>
      <c r="KRK74" s="24"/>
      <c r="KRL74" s="24"/>
      <c r="KSC74" s="24"/>
      <c r="KSD74" s="24"/>
      <c r="KSU74" s="24"/>
      <c r="KSV74" s="24"/>
      <c r="KTM74" s="24"/>
      <c r="KTN74" s="24"/>
      <c r="KUE74" s="24"/>
      <c r="KUF74" s="24"/>
      <c r="KUW74" s="24"/>
      <c r="KUX74" s="24"/>
      <c r="KVO74" s="24"/>
      <c r="KVP74" s="24"/>
      <c r="KWG74" s="24"/>
      <c r="KWH74" s="24"/>
      <c r="KWY74" s="24"/>
      <c r="KWZ74" s="24"/>
      <c r="KXQ74" s="24"/>
      <c r="KXR74" s="24"/>
      <c r="KYI74" s="24"/>
      <c r="KYJ74" s="24"/>
      <c r="KZA74" s="24"/>
      <c r="KZB74" s="24"/>
      <c r="KZS74" s="24"/>
      <c r="KZT74" s="24"/>
      <c r="LAK74" s="24"/>
      <c r="LAL74" s="24"/>
      <c r="LBC74" s="24"/>
      <c r="LBD74" s="24"/>
      <c r="LBU74" s="24"/>
      <c r="LBV74" s="24"/>
      <c r="LCM74" s="24"/>
      <c r="LCN74" s="24"/>
      <c r="LDE74" s="24"/>
      <c r="LDF74" s="24"/>
      <c r="LDW74" s="24"/>
      <c r="LDX74" s="24"/>
      <c r="LEO74" s="24"/>
      <c r="LEP74" s="24"/>
      <c r="LFG74" s="24"/>
      <c r="LFH74" s="24"/>
      <c r="LFY74" s="24"/>
      <c r="LFZ74" s="24"/>
      <c r="LGQ74" s="24"/>
      <c r="LGR74" s="24"/>
      <c r="LHI74" s="24"/>
      <c r="LHJ74" s="24"/>
      <c r="LIA74" s="24"/>
      <c r="LIB74" s="24"/>
      <c r="LIS74" s="24"/>
      <c r="LIT74" s="24"/>
      <c r="LJK74" s="24"/>
      <c r="LJL74" s="24"/>
      <c r="LKC74" s="24"/>
      <c r="LKD74" s="24"/>
      <c r="LKU74" s="24"/>
      <c r="LKV74" s="24"/>
      <c r="LLM74" s="24"/>
      <c r="LLN74" s="24"/>
      <c r="LME74" s="24"/>
      <c r="LMF74" s="24"/>
      <c r="LMW74" s="24"/>
      <c r="LMX74" s="24"/>
      <c r="LNO74" s="24"/>
      <c r="LNP74" s="24"/>
      <c r="LOG74" s="24"/>
      <c r="LOH74" s="24"/>
      <c r="LOY74" s="24"/>
      <c r="LOZ74" s="24"/>
      <c r="LPQ74" s="24"/>
      <c r="LPR74" s="24"/>
      <c r="LQI74" s="24"/>
      <c r="LQJ74" s="24"/>
      <c r="LRA74" s="24"/>
      <c r="LRB74" s="24"/>
      <c r="LRS74" s="24"/>
      <c r="LRT74" s="24"/>
      <c r="LSK74" s="24"/>
      <c r="LSL74" s="24"/>
      <c r="LTC74" s="24"/>
      <c r="LTD74" s="24"/>
      <c r="LTU74" s="24"/>
      <c r="LTV74" s="24"/>
      <c r="LUM74" s="24"/>
      <c r="LUN74" s="24"/>
      <c r="LVE74" s="24"/>
      <c r="LVF74" s="24"/>
      <c r="LVW74" s="24"/>
      <c r="LVX74" s="24"/>
      <c r="LWO74" s="24"/>
      <c r="LWP74" s="24"/>
      <c r="LXG74" s="24"/>
      <c r="LXH74" s="24"/>
      <c r="LXY74" s="24"/>
      <c r="LXZ74" s="24"/>
      <c r="LYQ74" s="24"/>
      <c r="LYR74" s="24"/>
      <c r="LZI74" s="24"/>
      <c r="LZJ74" s="24"/>
      <c r="MAA74" s="24"/>
      <c r="MAB74" s="24"/>
      <c r="MAS74" s="24"/>
      <c r="MAT74" s="24"/>
      <c r="MBK74" s="24"/>
      <c r="MBL74" s="24"/>
      <c r="MCC74" s="24"/>
      <c r="MCD74" s="24"/>
      <c r="MCU74" s="24"/>
      <c r="MCV74" s="24"/>
      <c r="MDM74" s="24"/>
      <c r="MDN74" s="24"/>
      <c r="MEE74" s="24"/>
      <c r="MEF74" s="24"/>
      <c r="MEW74" s="24"/>
      <c r="MEX74" s="24"/>
      <c r="MFO74" s="24"/>
      <c r="MFP74" s="24"/>
      <c r="MGG74" s="24"/>
      <c r="MGH74" s="24"/>
      <c r="MGY74" s="24"/>
      <c r="MGZ74" s="24"/>
      <c r="MHQ74" s="24"/>
      <c r="MHR74" s="24"/>
      <c r="MII74" s="24"/>
      <c r="MIJ74" s="24"/>
      <c r="MJA74" s="24"/>
      <c r="MJB74" s="24"/>
      <c r="MJS74" s="24"/>
      <c r="MJT74" s="24"/>
      <c r="MKK74" s="24"/>
      <c r="MKL74" s="24"/>
      <c r="MLC74" s="24"/>
      <c r="MLD74" s="24"/>
      <c r="MLU74" s="24"/>
      <c r="MLV74" s="24"/>
      <c r="MMM74" s="24"/>
      <c r="MMN74" s="24"/>
      <c r="MNE74" s="24"/>
      <c r="MNF74" s="24"/>
      <c r="MNW74" s="24"/>
      <c r="MNX74" s="24"/>
      <c r="MOO74" s="24"/>
      <c r="MOP74" s="24"/>
      <c r="MPG74" s="24"/>
      <c r="MPH74" s="24"/>
      <c r="MPY74" s="24"/>
      <c r="MPZ74" s="24"/>
      <c r="MQQ74" s="24"/>
      <c r="MQR74" s="24"/>
      <c r="MRI74" s="24"/>
      <c r="MRJ74" s="24"/>
      <c r="MSA74" s="24"/>
      <c r="MSB74" s="24"/>
      <c r="MSS74" s="24"/>
      <c r="MST74" s="24"/>
      <c r="MTK74" s="24"/>
      <c r="MTL74" s="24"/>
      <c r="MUC74" s="24"/>
      <c r="MUD74" s="24"/>
      <c r="MUU74" s="24"/>
      <c r="MUV74" s="24"/>
      <c r="MVM74" s="24"/>
      <c r="MVN74" s="24"/>
      <c r="MWE74" s="24"/>
      <c r="MWF74" s="24"/>
      <c r="MWW74" s="24"/>
      <c r="MWX74" s="24"/>
      <c r="MXO74" s="24"/>
      <c r="MXP74" s="24"/>
      <c r="MYG74" s="24"/>
      <c r="MYH74" s="24"/>
      <c r="MYY74" s="24"/>
      <c r="MYZ74" s="24"/>
      <c r="MZQ74" s="24"/>
      <c r="MZR74" s="24"/>
      <c r="NAI74" s="24"/>
      <c r="NAJ74" s="24"/>
      <c r="NBA74" s="24"/>
      <c r="NBB74" s="24"/>
      <c r="NBS74" s="24"/>
      <c r="NBT74" s="24"/>
      <c r="NCK74" s="24"/>
      <c r="NCL74" s="24"/>
      <c r="NDC74" s="24"/>
      <c r="NDD74" s="24"/>
      <c r="NDU74" s="24"/>
      <c r="NDV74" s="24"/>
      <c r="NEM74" s="24"/>
      <c r="NEN74" s="24"/>
      <c r="NFE74" s="24"/>
      <c r="NFF74" s="24"/>
      <c r="NFW74" s="24"/>
      <c r="NFX74" s="24"/>
      <c r="NGO74" s="24"/>
      <c r="NGP74" s="24"/>
      <c r="NHG74" s="24"/>
      <c r="NHH74" s="24"/>
      <c r="NHY74" s="24"/>
      <c r="NHZ74" s="24"/>
      <c r="NIQ74" s="24"/>
      <c r="NIR74" s="24"/>
      <c r="NJI74" s="24"/>
      <c r="NJJ74" s="24"/>
      <c r="NKA74" s="24"/>
      <c r="NKB74" s="24"/>
      <c r="NKS74" s="24"/>
      <c r="NKT74" s="24"/>
      <c r="NLK74" s="24"/>
      <c r="NLL74" s="24"/>
      <c r="NMC74" s="24"/>
      <c r="NMD74" s="24"/>
      <c r="NMU74" s="24"/>
      <c r="NMV74" s="24"/>
      <c r="NNM74" s="24"/>
      <c r="NNN74" s="24"/>
      <c r="NOE74" s="24"/>
      <c r="NOF74" s="24"/>
      <c r="NOW74" s="24"/>
      <c r="NOX74" s="24"/>
      <c r="NPO74" s="24"/>
      <c r="NPP74" s="24"/>
      <c r="NQG74" s="24"/>
      <c r="NQH74" s="24"/>
      <c r="NQY74" s="24"/>
      <c r="NQZ74" s="24"/>
      <c r="NRQ74" s="24"/>
      <c r="NRR74" s="24"/>
      <c r="NSI74" s="24"/>
      <c r="NSJ74" s="24"/>
      <c r="NTA74" s="24"/>
      <c r="NTB74" s="24"/>
      <c r="NTS74" s="24"/>
      <c r="NTT74" s="24"/>
      <c r="NUK74" s="24"/>
      <c r="NUL74" s="24"/>
      <c r="NVC74" s="24"/>
      <c r="NVD74" s="24"/>
      <c r="NVU74" s="24"/>
      <c r="NVV74" s="24"/>
      <c r="NWM74" s="24"/>
      <c r="NWN74" s="24"/>
      <c r="NXE74" s="24"/>
      <c r="NXF74" s="24"/>
      <c r="NXW74" s="24"/>
      <c r="NXX74" s="24"/>
      <c r="NYO74" s="24"/>
      <c r="NYP74" s="24"/>
      <c r="NZG74" s="24"/>
      <c r="NZH74" s="24"/>
      <c r="NZY74" s="24"/>
      <c r="NZZ74" s="24"/>
      <c r="OAQ74" s="24"/>
      <c r="OAR74" s="24"/>
      <c r="OBI74" s="24"/>
      <c r="OBJ74" s="24"/>
      <c r="OCA74" s="24"/>
      <c r="OCB74" s="24"/>
      <c r="OCS74" s="24"/>
      <c r="OCT74" s="24"/>
      <c r="ODK74" s="24"/>
      <c r="ODL74" s="24"/>
      <c r="OEC74" s="24"/>
      <c r="OED74" s="24"/>
      <c r="OEU74" s="24"/>
      <c r="OEV74" s="24"/>
      <c r="OFM74" s="24"/>
      <c r="OFN74" s="24"/>
      <c r="OGE74" s="24"/>
      <c r="OGF74" s="24"/>
      <c r="OGW74" s="24"/>
      <c r="OGX74" s="24"/>
      <c r="OHO74" s="24"/>
      <c r="OHP74" s="24"/>
      <c r="OIG74" s="24"/>
      <c r="OIH74" s="24"/>
      <c r="OIY74" s="24"/>
      <c r="OIZ74" s="24"/>
      <c r="OJQ74" s="24"/>
      <c r="OJR74" s="24"/>
      <c r="OKI74" s="24"/>
      <c r="OKJ74" s="24"/>
      <c r="OLA74" s="24"/>
      <c r="OLB74" s="24"/>
      <c r="OLS74" s="24"/>
      <c r="OLT74" s="24"/>
      <c r="OMK74" s="24"/>
      <c r="OML74" s="24"/>
      <c r="ONC74" s="24"/>
      <c r="OND74" s="24"/>
      <c r="ONU74" s="24"/>
      <c r="ONV74" s="24"/>
      <c r="OOM74" s="24"/>
      <c r="OON74" s="24"/>
      <c r="OPE74" s="24"/>
      <c r="OPF74" s="24"/>
      <c r="OPW74" s="24"/>
      <c r="OPX74" s="24"/>
      <c r="OQO74" s="24"/>
      <c r="OQP74" s="24"/>
      <c r="ORG74" s="24"/>
      <c r="ORH74" s="24"/>
      <c r="ORY74" s="24"/>
      <c r="ORZ74" s="24"/>
      <c r="OSQ74" s="24"/>
      <c r="OSR74" s="24"/>
      <c r="OTI74" s="24"/>
      <c r="OTJ74" s="24"/>
      <c r="OUA74" s="24"/>
      <c r="OUB74" s="24"/>
      <c r="OUS74" s="24"/>
      <c r="OUT74" s="24"/>
      <c r="OVK74" s="24"/>
      <c r="OVL74" s="24"/>
      <c r="OWC74" s="24"/>
      <c r="OWD74" s="24"/>
      <c r="OWU74" s="24"/>
      <c r="OWV74" s="24"/>
      <c r="OXM74" s="24"/>
      <c r="OXN74" s="24"/>
      <c r="OYE74" s="24"/>
      <c r="OYF74" s="24"/>
      <c r="OYW74" s="24"/>
      <c r="OYX74" s="24"/>
      <c r="OZO74" s="24"/>
      <c r="OZP74" s="24"/>
      <c r="PAG74" s="24"/>
      <c r="PAH74" s="24"/>
      <c r="PAY74" s="24"/>
      <c r="PAZ74" s="24"/>
      <c r="PBQ74" s="24"/>
      <c r="PBR74" s="24"/>
      <c r="PCI74" s="24"/>
      <c r="PCJ74" s="24"/>
      <c r="PDA74" s="24"/>
      <c r="PDB74" s="24"/>
      <c r="PDS74" s="24"/>
      <c r="PDT74" s="24"/>
      <c r="PEK74" s="24"/>
      <c r="PEL74" s="24"/>
      <c r="PFC74" s="24"/>
      <c r="PFD74" s="24"/>
      <c r="PFU74" s="24"/>
      <c r="PFV74" s="24"/>
      <c r="PGM74" s="24"/>
      <c r="PGN74" s="24"/>
      <c r="PHE74" s="24"/>
      <c r="PHF74" s="24"/>
      <c r="PHW74" s="24"/>
      <c r="PHX74" s="24"/>
      <c r="PIO74" s="24"/>
      <c r="PIP74" s="24"/>
      <c r="PJG74" s="24"/>
      <c r="PJH74" s="24"/>
      <c r="PJY74" s="24"/>
      <c r="PJZ74" s="24"/>
      <c r="PKQ74" s="24"/>
      <c r="PKR74" s="24"/>
      <c r="PLI74" s="24"/>
      <c r="PLJ74" s="24"/>
      <c r="PMA74" s="24"/>
      <c r="PMB74" s="24"/>
      <c r="PMS74" s="24"/>
      <c r="PMT74" s="24"/>
      <c r="PNK74" s="24"/>
      <c r="PNL74" s="24"/>
      <c r="POC74" s="24"/>
      <c r="POD74" s="24"/>
      <c r="POU74" s="24"/>
      <c r="POV74" s="24"/>
      <c r="PPM74" s="24"/>
      <c r="PPN74" s="24"/>
      <c r="PQE74" s="24"/>
      <c r="PQF74" s="24"/>
      <c r="PQW74" s="24"/>
      <c r="PQX74" s="24"/>
      <c r="PRO74" s="24"/>
      <c r="PRP74" s="24"/>
      <c r="PSG74" s="24"/>
      <c r="PSH74" s="24"/>
      <c r="PSY74" s="24"/>
      <c r="PSZ74" s="24"/>
      <c r="PTQ74" s="24"/>
      <c r="PTR74" s="24"/>
      <c r="PUI74" s="24"/>
      <c r="PUJ74" s="24"/>
      <c r="PVA74" s="24"/>
      <c r="PVB74" s="24"/>
      <c r="PVS74" s="24"/>
      <c r="PVT74" s="24"/>
      <c r="PWK74" s="24"/>
      <c r="PWL74" s="24"/>
      <c r="PXC74" s="24"/>
      <c r="PXD74" s="24"/>
      <c r="PXU74" s="24"/>
      <c r="PXV74" s="24"/>
      <c r="PYM74" s="24"/>
      <c r="PYN74" s="24"/>
      <c r="PZE74" s="24"/>
      <c r="PZF74" s="24"/>
      <c r="PZW74" s="24"/>
      <c r="PZX74" s="24"/>
      <c r="QAO74" s="24"/>
      <c r="QAP74" s="24"/>
      <c r="QBG74" s="24"/>
      <c r="QBH74" s="24"/>
      <c r="QBY74" s="24"/>
      <c r="QBZ74" s="24"/>
      <c r="QCQ74" s="24"/>
      <c r="QCR74" s="24"/>
      <c r="QDI74" s="24"/>
      <c r="QDJ74" s="24"/>
      <c r="QEA74" s="24"/>
      <c r="QEB74" s="24"/>
      <c r="QES74" s="24"/>
      <c r="QET74" s="24"/>
      <c r="QFK74" s="24"/>
      <c r="QFL74" s="24"/>
      <c r="QGC74" s="24"/>
      <c r="QGD74" s="24"/>
      <c r="QGU74" s="24"/>
      <c r="QGV74" s="24"/>
      <c r="QHM74" s="24"/>
      <c r="QHN74" s="24"/>
      <c r="QIE74" s="24"/>
      <c r="QIF74" s="24"/>
      <c r="QIW74" s="24"/>
      <c r="QIX74" s="24"/>
      <c r="QJO74" s="24"/>
      <c r="QJP74" s="24"/>
      <c r="QKG74" s="24"/>
      <c r="QKH74" s="24"/>
      <c r="QKY74" s="24"/>
      <c r="QKZ74" s="24"/>
      <c r="QLQ74" s="24"/>
      <c r="QLR74" s="24"/>
      <c r="QMI74" s="24"/>
      <c r="QMJ74" s="24"/>
      <c r="QNA74" s="24"/>
      <c r="QNB74" s="24"/>
      <c r="QNS74" s="24"/>
      <c r="QNT74" s="24"/>
      <c r="QOK74" s="24"/>
      <c r="QOL74" s="24"/>
      <c r="QPC74" s="24"/>
      <c r="QPD74" s="24"/>
      <c r="QPU74" s="24"/>
      <c r="QPV74" s="24"/>
      <c r="QQM74" s="24"/>
      <c r="QQN74" s="24"/>
      <c r="QRE74" s="24"/>
      <c r="QRF74" s="24"/>
      <c r="QRW74" s="24"/>
      <c r="QRX74" s="24"/>
      <c r="QSO74" s="24"/>
      <c r="QSP74" s="24"/>
      <c r="QTG74" s="24"/>
      <c r="QTH74" s="24"/>
      <c r="QTY74" s="24"/>
      <c r="QTZ74" s="24"/>
      <c r="QUQ74" s="24"/>
      <c r="QUR74" s="24"/>
      <c r="QVI74" s="24"/>
      <c r="QVJ74" s="24"/>
      <c r="QWA74" s="24"/>
      <c r="QWB74" s="24"/>
      <c r="QWS74" s="24"/>
      <c r="QWT74" s="24"/>
      <c r="QXK74" s="24"/>
      <c r="QXL74" s="24"/>
      <c r="QYC74" s="24"/>
      <c r="QYD74" s="24"/>
      <c r="QYU74" s="24"/>
      <c r="QYV74" s="24"/>
      <c r="QZM74" s="24"/>
      <c r="QZN74" s="24"/>
      <c r="RAE74" s="24"/>
      <c r="RAF74" s="24"/>
      <c r="RAW74" s="24"/>
      <c r="RAX74" s="24"/>
      <c r="RBO74" s="24"/>
      <c r="RBP74" s="24"/>
      <c r="RCG74" s="24"/>
      <c r="RCH74" s="24"/>
      <c r="RCY74" s="24"/>
      <c r="RCZ74" s="24"/>
      <c r="RDQ74" s="24"/>
      <c r="RDR74" s="24"/>
      <c r="REI74" s="24"/>
      <c r="REJ74" s="24"/>
      <c r="RFA74" s="24"/>
      <c r="RFB74" s="24"/>
      <c r="RFS74" s="24"/>
      <c r="RFT74" s="24"/>
      <c r="RGK74" s="24"/>
      <c r="RGL74" s="24"/>
      <c r="RHC74" s="24"/>
      <c r="RHD74" s="24"/>
      <c r="RHU74" s="24"/>
      <c r="RHV74" s="24"/>
      <c r="RIM74" s="24"/>
      <c r="RIN74" s="24"/>
      <c r="RJE74" s="24"/>
      <c r="RJF74" s="24"/>
      <c r="RJW74" s="24"/>
      <c r="RJX74" s="24"/>
      <c r="RKO74" s="24"/>
      <c r="RKP74" s="24"/>
      <c r="RLG74" s="24"/>
      <c r="RLH74" s="24"/>
      <c r="RLY74" s="24"/>
      <c r="RLZ74" s="24"/>
      <c r="RMQ74" s="24"/>
      <c r="RMR74" s="24"/>
      <c r="RNI74" s="24"/>
      <c r="RNJ74" s="24"/>
      <c r="ROA74" s="24"/>
      <c r="ROB74" s="24"/>
      <c r="ROS74" s="24"/>
      <c r="ROT74" s="24"/>
      <c r="RPK74" s="24"/>
      <c r="RPL74" s="24"/>
      <c r="RQC74" s="24"/>
      <c r="RQD74" s="24"/>
      <c r="RQU74" s="24"/>
      <c r="RQV74" s="24"/>
      <c r="RRM74" s="24"/>
      <c r="RRN74" s="24"/>
      <c r="RSE74" s="24"/>
      <c r="RSF74" s="24"/>
      <c r="RSW74" s="24"/>
      <c r="RSX74" s="24"/>
      <c r="RTO74" s="24"/>
      <c r="RTP74" s="24"/>
      <c r="RUG74" s="24"/>
      <c r="RUH74" s="24"/>
      <c r="RUY74" s="24"/>
      <c r="RUZ74" s="24"/>
      <c r="RVQ74" s="24"/>
      <c r="RVR74" s="24"/>
      <c r="RWI74" s="24"/>
      <c r="RWJ74" s="24"/>
      <c r="RXA74" s="24"/>
      <c r="RXB74" s="24"/>
      <c r="RXS74" s="24"/>
      <c r="RXT74" s="24"/>
      <c r="RYK74" s="24"/>
      <c r="RYL74" s="24"/>
      <c r="RZC74" s="24"/>
      <c r="RZD74" s="24"/>
      <c r="RZU74" s="24"/>
      <c r="RZV74" s="24"/>
      <c r="SAM74" s="24"/>
      <c r="SAN74" s="24"/>
      <c r="SBE74" s="24"/>
      <c r="SBF74" s="24"/>
      <c r="SBW74" s="24"/>
      <c r="SBX74" s="24"/>
      <c r="SCO74" s="24"/>
      <c r="SCP74" s="24"/>
      <c r="SDG74" s="24"/>
      <c r="SDH74" s="24"/>
      <c r="SDY74" s="24"/>
      <c r="SDZ74" s="24"/>
      <c r="SEQ74" s="24"/>
      <c r="SER74" s="24"/>
      <c r="SFI74" s="24"/>
      <c r="SFJ74" s="24"/>
      <c r="SGA74" s="24"/>
      <c r="SGB74" s="24"/>
      <c r="SGS74" s="24"/>
      <c r="SGT74" s="24"/>
      <c r="SHK74" s="24"/>
      <c r="SHL74" s="24"/>
      <c r="SIC74" s="24"/>
      <c r="SID74" s="24"/>
      <c r="SIU74" s="24"/>
      <c r="SIV74" s="24"/>
      <c r="SJM74" s="24"/>
      <c r="SJN74" s="24"/>
      <c r="SKE74" s="24"/>
      <c r="SKF74" s="24"/>
      <c r="SKW74" s="24"/>
      <c r="SKX74" s="24"/>
      <c r="SLO74" s="24"/>
      <c r="SLP74" s="24"/>
      <c r="SMG74" s="24"/>
      <c r="SMH74" s="24"/>
      <c r="SMY74" s="24"/>
      <c r="SMZ74" s="24"/>
      <c r="SNQ74" s="24"/>
      <c r="SNR74" s="24"/>
      <c r="SOI74" s="24"/>
      <c r="SOJ74" s="24"/>
      <c r="SPA74" s="24"/>
      <c r="SPB74" s="24"/>
      <c r="SPS74" s="24"/>
      <c r="SPT74" s="24"/>
      <c r="SQK74" s="24"/>
      <c r="SQL74" s="24"/>
      <c r="SRC74" s="24"/>
      <c r="SRD74" s="24"/>
      <c r="SRU74" s="24"/>
      <c r="SRV74" s="24"/>
      <c r="SSM74" s="24"/>
      <c r="SSN74" s="24"/>
      <c r="STE74" s="24"/>
      <c r="STF74" s="24"/>
      <c r="STW74" s="24"/>
      <c r="STX74" s="24"/>
      <c r="SUO74" s="24"/>
      <c r="SUP74" s="24"/>
      <c r="SVG74" s="24"/>
      <c r="SVH74" s="24"/>
      <c r="SVY74" s="24"/>
      <c r="SVZ74" s="24"/>
      <c r="SWQ74" s="24"/>
      <c r="SWR74" s="24"/>
      <c r="SXI74" s="24"/>
      <c r="SXJ74" s="24"/>
      <c r="SYA74" s="24"/>
      <c r="SYB74" s="24"/>
      <c r="SYS74" s="24"/>
      <c r="SYT74" s="24"/>
      <c r="SZK74" s="24"/>
      <c r="SZL74" s="24"/>
      <c r="TAC74" s="24"/>
      <c r="TAD74" s="24"/>
      <c r="TAU74" s="24"/>
      <c r="TAV74" s="24"/>
      <c r="TBM74" s="24"/>
      <c r="TBN74" s="24"/>
      <c r="TCE74" s="24"/>
      <c r="TCF74" s="24"/>
      <c r="TCW74" s="24"/>
      <c r="TCX74" s="24"/>
      <c r="TDO74" s="24"/>
      <c r="TDP74" s="24"/>
      <c r="TEG74" s="24"/>
      <c r="TEH74" s="24"/>
      <c r="TEY74" s="24"/>
      <c r="TEZ74" s="24"/>
      <c r="TFQ74" s="24"/>
      <c r="TFR74" s="24"/>
      <c r="TGI74" s="24"/>
      <c r="TGJ74" s="24"/>
      <c r="THA74" s="24"/>
      <c r="THB74" s="24"/>
      <c r="THS74" s="24"/>
      <c r="THT74" s="24"/>
      <c r="TIK74" s="24"/>
      <c r="TIL74" s="24"/>
      <c r="TJC74" s="24"/>
      <c r="TJD74" s="24"/>
      <c r="TJU74" s="24"/>
      <c r="TJV74" s="24"/>
      <c r="TKM74" s="24"/>
      <c r="TKN74" s="24"/>
      <c r="TLE74" s="24"/>
      <c r="TLF74" s="24"/>
      <c r="TLW74" s="24"/>
      <c r="TLX74" s="24"/>
      <c r="TMO74" s="24"/>
      <c r="TMP74" s="24"/>
      <c r="TNG74" s="24"/>
      <c r="TNH74" s="24"/>
      <c r="TNY74" s="24"/>
      <c r="TNZ74" s="24"/>
      <c r="TOQ74" s="24"/>
      <c r="TOR74" s="24"/>
      <c r="TPI74" s="24"/>
      <c r="TPJ74" s="24"/>
      <c r="TQA74" s="24"/>
      <c r="TQB74" s="24"/>
      <c r="TQS74" s="24"/>
      <c r="TQT74" s="24"/>
      <c r="TRK74" s="24"/>
      <c r="TRL74" s="24"/>
      <c r="TSC74" s="24"/>
      <c r="TSD74" s="24"/>
      <c r="TSU74" s="24"/>
      <c r="TSV74" s="24"/>
      <c r="TTM74" s="24"/>
      <c r="TTN74" s="24"/>
      <c r="TUE74" s="24"/>
      <c r="TUF74" s="24"/>
      <c r="TUW74" s="24"/>
      <c r="TUX74" s="24"/>
      <c r="TVO74" s="24"/>
      <c r="TVP74" s="24"/>
      <c r="TWG74" s="24"/>
      <c r="TWH74" s="24"/>
      <c r="TWY74" s="24"/>
      <c r="TWZ74" s="24"/>
      <c r="TXQ74" s="24"/>
      <c r="TXR74" s="24"/>
      <c r="TYI74" s="24"/>
      <c r="TYJ74" s="24"/>
      <c r="TZA74" s="24"/>
      <c r="TZB74" s="24"/>
      <c r="TZS74" s="24"/>
      <c r="TZT74" s="24"/>
      <c r="UAK74" s="24"/>
      <c r="UAL74" s="24"/>
      <c r="UBC74" s="24"/>
      <c r="UBD74" s="24"/>
      <c r="UBU74" s="24"/>
      <c r="UBV74" s="24"/>
      <c r="UCM74" s="24"/>
      <c r="UCN74" s="24"/>
      <c r="UDE74" s="24"/>
      <c r="UDF74" s="24"/>
      <c r="UDW74" s="24"/>
      <c r="UDX74" s="24"/>
      <c r="UEO74" s="24"/>
      <c r="UEP74" s="24"/>
      <c r="UFG74" s="24"/>
      <c r="UFH74" s="24"/>
      <c r="UFY74" s="24"/>
      <c r="UFZ74" s="24"/>
      <c r="UGQ74" s="24"/>
      <c r="UGR74" s="24"/>
      <c r="UHI74" s="24"/>
      <c r="UHJ74" s="24"/>
      <c r="UIA74" s="24"/>
      <c r="UIB74" s="24"/>
      <c r="UIS74" s="24"/>
      <c r="UIT74" s="24"/>
      <c r="UJK74" s="24"/>
      <c r="UJL74" s="24"/>
      <c r="UKC74" s="24"/>
      <c r="UKD74" s="24"/>
      <c r="UKU74" s="24"/>
      <c r="UKV74" s="24"/>
      <c r="ULM74" s="24"/>
      <c r="ULN74" s="24"/>
      <c r="UME74" s="24"/>
      <c r="UMF74" s="24"/>
      <c r="UMW74" s="24"/>
      <c r="UMX74" s="24"/>
      <c r="UNO74" s="24"/>
      <c r="UNP74" s="24"/>
      <c r="UOG74" s="24"/>
      <c r="UOH74" s="24"/>
      <c r="UOY74" s="24"/>
      <c r="UOZ74" s="24"/>
      <c r="UPQ74" s="24"/>
      <c r="UPR74" s="24"/>
      <c r="UQI74" s="24"/>
      <c r="UQJ74" s="24"/>
      <c r="URA74" s="24"/>
      <c r="URB74" s="24"/>
      <c r="URS74" s="24"/>
      <c r="URT74" s="24"/>
      <c r="USK74" s="24"/>
      <c r="USL74" s="24"/>
      <c r="UTC74" s="24"/>
      <c r="UTD74" s="24"/>
      <c r="UTU74" s="24"/>
      <c r="UTV74" s="24"/>
      <c r="UUM74" s="24"/>
      <c r="UUN74" s="24"/>
      <c r="UVE74" s="24"/>
      <c r="UVF74" s="24"/>
      <c r="UVW74" s="24"/>
      <c r="UVX74" s="24"/>
      <c r="UWO74" s="24"/>
      <c r="UWP74" s="24"/>
      <c r="UXG74" s="24"/>
      <c r="UXH74" s="24"/>
      <c r="UXY74" s="24"/>
      <c r="UXZ74" s="24"/>
      <c r="UYQ74" s="24"/>
      <c r="UYR74" s="24"/>
      <c r="UZI74" s="24"/>
      <c r="UZJ74" s="24"/>
      <c r="VAA74" s="24"/>
      <c r="VAB74" s="24"/>
      <c r="VAS74" s="24"/>
      <c r="VAT74" s="24"/>
      <c r="VBK74" s="24"/>
      <c r="VBL74" s="24"/>
      <c r="VCC74" s="24"/>
      <c r="VCD74" s="24"/>
      <c r="VCU74" s="24"/>
      <c r="VCV74" s="24"/>
      <c r="VDM74" s="24"/>
      <c r="VDN74" s="24"/>
      <c r="VEE74" s="24"/>
      <c r="VEF74" s="24"/>
      <c r="VEW74" s="24"/>
      <c r="VEX74" s="24"/>
      <c r="VFO74" s="24"/>
      <c r="VFP74" s="24"/>
      <c r="VGG74" s="24"/>
      <c r="VGH74" s="24"/>
      <c r="VGY74" s="24"/>
      <c r="VGZ74" s="24"/>
      <c r="VHQ74" s="24"/>
      <c r="VHR74" s="24"/>
      <c r="VII74" s="24"/>
      <c r="VIJ74" s="24"/>
      <c r="VJA74" s="24"/>
      <c r="VJB74" s="24"/>
      <c r="VJS74" s="24"/>
      <c r="VJT74" s="24"/>
      <c r="VKK74" s="24"/>
      <c r="VKL74" s="24"/>
      <c r="VLC74" s="24"/>
      <c r="VLD74" s="24"/>
      <c r="VLU74" s="24"/>
      <c r="VLV74" s="24"/>
      <c r="VMM74" s="24"/>
      <c r="VMN74" s="24"/>
      <c r="VNE74" s="24"/>
      <c r="VNF74" s="24"/>
      <c r="VNW74" s="24"/>
      <c r="VNX74" s="24"/>
      <c r="VOO74" s="24"/>
      <c r="VOP74" s="24"/>
      <c r="VPG74" s="24"/>
      <c r="VPH74" s="24"/>
      <c r="VPY74" s="24"/>
      <c r="VPZ74" s="24"/>
      <c r="VQQ74" s="24"/>
      <c r="VQR74" s="24"/>
      <c r="VRI74" s="24"/>
      <c r="VRJ74" s="24"/>
      <c r="VSA74" s="24"/>
      <c r="VSB74" s="24"/>
      <c r="VSS74" s="24"/>
      <c r="VST74" s="24"/>
      <c r="VTK74" s="24"/>
      <c r="VTL74" s="24"/>
      <c r="VUC74" s="24"/>
      <c r="VUD74" s="24"/>
      <c r="VUU74" s="24"/>
      <c r="VUV74" s="24"/>
      <c r="VVM74" s="24"/>
      <c r="VVN74" s="24"/>
      <c r="VWE74" s="24"/>
      <c r="VWF74" s="24"/>
      <c r="VWW74" s="24"/>
      <c r="VWX74" s="24"/>
      <c r="VXO74" s="24"/>
      <c r="VXP74" s="24"/>
      <c r="VYG74" s="24"/>
      <c r="VYH74" s="24"/>
      <c r="VYY74" s="24"/>
      <c r="VYZ74" s="24"/>
      <c r="VZQ74" s="24"/>
      <c r="VZR74" s="24"/>
      <c r="WAI74" s="24"/>
      <c r="WAJ74" s="24"/>
      <c r="WBA74" s="24"/>
      <c r="WBB74" s="24"/>
      <c r="WBS74" s="24"/>
      <c r="WBT74" s="24"/>
      <c r="WCK74" s="24"/>
      <c r="WCL74" s="24"/>
      <c r="WDC74" s="24"/>
      <c r="WDD74" s="24"/>
      <c r="WDU74" s="24"/>
      <c r="WDV74" s="24"/>
      <c r="WEM74" s="24"/>
      <c r="WEN74" s="24"/>
      <c r="WFE74" s="24"/>
      <c r="WFF74" s="24"/>
      <c r="WFW74" s="24"/>
      <c r="WFX74" s="24"/>
      <c r="WGO74" s="24"/>
      <c r="WGP74" s="24"/>
      <c r="WHG74" s="24"/>
      <c r="WHH74" s="24"/>
      <c r="WHY74" s="24"/>
      <c r="WHZ74" s="24"/>
      <c r="WIQ74" s="24"/>
      <c r="WIR74" s="24"/>
      <c r="WJI74" s="24"/>
      <c r="WJJ74" s="24"/>
      <c r="WKA74" s="24"/>
      <c r="WKB74" s="24"/>
      <c r="WKS74" s="24"/>
      <c r="WKT74" s="24"/>
      <c r="WLK74" s="24"/>
      <c r="WLL74" s="24"/>
      <c r="WMC74" s="24"/>
      <c r="WMD74" s="24"/>
      <c r="WMU74" s="24"/>
      <c r="WMV74" s="24"/>
      <c r="WNM74" s="24"/>
      <c r="WNN74" s="24"/>
      <c r="WOE74" s="24"/>
      <c r="WOF74" s="24"/>
      <c r="WOW74" s="24"/>
      <c r="WOX74" s="24"/>
      <c r="WPO74" s="24"/>
      <c r="WPP74" s="24"/>
      <c r="WQG74" s="24"/>
      <c r="WQH74" s="24"/>
      <c r="WQY74" s="24"/>
      <c r="WQZ74" s="24"/>
      <c r="WRQ74" s="24"/>
      <c r="WRR74" s="24"/>
      <c r="WSI74" s="24"/>
      <c r="WSJ74" s="24"/>
      <c r="WTA74" s="24"/>
      <c r="WTB74" s="24"/>
      <c r="WTS74" s="24"/>
      <c r="WTT74" s="24"/>
      <c r="WUK74" s="24"/>
      <c r="WUL74" s="24"/>
      <c r="WVC74" s="24"/>
      <c r="WVD74" s="24"/>
      <c r="WVU74" s="24"/>
      <c r="WVV74" s="24"/>
      <c r="WWM74" s="24"/>
      <c r="WWN74" s="24"/>
      <c r="WXE74" s="24"/>
      <c r="WXF74" s="24"/>
      <c r="WXW74" s="24"/>
      <c r="WXX74" s="24"/>
      <c r="WYO74" s="24"/>
      <c r="WYP74" s="24"/>
      <c r="WZG74" s="24"/>
      <c r="WZH74" s="24"/>
      <c r="WZY74" s="24"/>
      <c r="WZZ74" s="24"/>
      <c r="XAQ74" s="24"/>
      <c r="XAR74" s="24"/>
      <c r="XBI74" s="24"/>
      <c r="XBJ74" s="24"/>
      <c r="XCA74" s="24"/>
      <c r="XCB74" s="24"/>
      <c r="XCS74" s="24"/>
      <c r="XCT74" s="24"/>
      <c r="XDK74" s="24"/>
      <c r="XDL74" s="24"/>
      <c r="XEC74" s="24"/>
      <c r="XED74" s="24"/>
      <c r="XEU74" s="24"/>
      <c r="XEV74" s="24"/>
    </row>
    <row r="75" spans="1:1022 1039:2048 2065:3056 3073:4082 4099:5108 5125:6134 6151:7160 7177:8186 8203:9212 9229:10238 10255:11264 11281:12272 12289:13298 13315:14324 14341:15350 15367:16376">
      <c r="A75" s="23"/>
      <c r="B75" s="23"/>
      <c r="C75" s="23"/>
      <c r="D75" s="23"/>
      <c r="E75" s="23"/>
      <c r="I75" s="23"/>
      <c r="J75" s="23"/>
    </row>
    <row r="76" spans="1:1022 1039:2048 2065:3056 3073:4082 4099:5108 5125:6134 6151:7160 7177:8186 8203:9212 9229:10238 10255:11264 11281:12272 12289:13298 13315:14324 14341:15350 15367:16376" ht="36">
      <c r="A76" s="33" t="s">
        <v>23</v>
      </c>
      <c r="B76" s="33" t="s">
        <v>24</v>
      </c>
      <c r="C76" s="34" t="s">
        <v>25</v>
      </c>
      <c r="D76" s="12" t="s">
        <v>26</v>
      </c>
      <c r="E76" s="12" t="s">
        <v>10</v>
      </c>
      <c r="F76" s="12" t="s">
        <v>27</v>
      </c>
      <c r="G76" s="12" t="s">
        <v>28</v>
      </c>
      <c r="H76" s="12" t="s">
        <v>29</v>
      </c>
      <c r="I76" s="12" t="s">
        <v>30</v>
      </c>
      <c r="J76" s="12" t="s">
        <v>31</v>
      </c>
      <c r="K76" s="12" t="s">
        <v>32</v>
      </c>
      <c r="L76" s="12" t="s">
        <v>33</v>
      </c>
      <c r="M76" s="12" t="s">
        <v>32</v>
      </c>
      <c r="N76" s="35"/>
    </row>
    <row r="77" spans="1:1022 1039:2048 2065:3056 3073:4082 4099:5108 5125:6134 6151:7160 7177:8186 8203:9212 9229:10238 10255:11264 11281:12272 12289:13298 13315:14324 14341:15350 15367:16376" ht="15" customHeight="1">
      <c r="A77" s="167" t="s">
        <v>75</v>
      </c>
      <c r="B77" s="136">
        <v>2419.1583633333335</v>
      </c>
      <c r="C77" s="133">
        <v>3</v>
      </c>
      <c r="D77" s="153">
        <v>82.733699999999999</v>
      </c>
      <c r="E77" s="154">
        <v>887.68957999999998</v>
      </c>
      <c r="F77" s="151">
        <v>12.066599999999999</v>
      </c>
      <c r="G77" s="151">
        <v>0</v>
      </c>
      <c r="H77" s="151">
        <v>1.8673</v>
      </c>
      <c r="I77" s="151">
        <v>0.54869999999999997</v>
      </c>
      <c r="J77" s="38">
        <f t="shared" ref="J77:J83" si="17">$A$6*E77/$B$77</f>
        <v>0.26162928402417701</v>
      </c>
      <c r="K77" s="82">
        <f>IF(OR(M77=O77,O77=0),O77, ROUND(O77/50,0)*50)</f>
        <v>0</v>
      </c>
      <c r="L77" s="40">
        <f>J77*K77/0.93/1000</f>
        <v>0</v>
      </c>
      <c r="M77" s="159">
        <v>1899</v>
      </c>
      <c r="N77" s="41"/>
      <c r="O77" s="79">
        <f>'Organized Data'!L30</f>
        <v>0</v>
      </c>
    </row>
    <row r="78" spans="1:1022 1039:2048 2065:3056 3073:4082 4099:5108 5125:6134 6151:7160 7177:8186 8203:9212 9229:10238 10255:11264 11281:12272 12289:13298 13315:14324 14341:15350 15367:16376" ht="15">
      <c r="A78" s="168"/>
      <c r="B78" s="139"/>
      <c r="C78" s="133">
        <v>4</v>
      </c>
      <c r="D78" s="153">
        <v>94.404600000000002</v>
      </c>
      <c r="E78" s="154">
        <v>2867.8078599999999</v>
      </c>
      <c r="F78" s="151">
        <v>4.2747999999999999</v>
      </c>
      <c r="G78" s="151">
        <v>0</v>
      </c>
      <c r="H78" s="151">
        <v>0.54090000000000005</v>
      </c>
      <c r="I78" s="151">
        <v>0.61160000000000003</v>
      </c>
      <c r="J78" s="38">
        <f t="shared" si="17"/>
        <v>0.84523073609888189</v>
      </c>
      <c r="K78" s="82">
        <f t="shared" ref="K78:K83" si="18">IF(OR(M78=O78,O78=0),O78, ROUND(O78/50,0)*50)</f>
        <v>1917.4</v>
      </c>
      <c r="L78" s="40">
        <f t="shared" ref="L78:L83" si="19">J78*K78/0.93/1000</f>
        <v>1.7426294767698882</v>
      </c>
      <c r="M78" s="159">
        <v>1917.4</v>
      </c>
      <c r="N78" s="41"/>
      <c r="O78" s="79">
        <f>'Organized Data'!L31</f>
        <v>1917.4</v>
      </c>
    </row>
    <row r="79" spans="1:1022 1039:2048 2065:3056 3073:4082 4099:5108 5125:6134 6151:7160 7177:8186 8203:9212 9229:10238 10255:11264 11281:12272 12289:13298 13315:14324 14341:15350 15367:16376" ht="15">
      <c r="A79" s="168"/>
      <c r="B79" s="137"/>
      <c r="C79" s="133">
        <v>5</v>
      </c>
      <c r="D79" s="153">
        <v>96.294899999999998</v>
      </c>
      <c r="E79" s="154">
        <v>3223.21362</v>
      </c>
      <c r="F79" s="151">
        <v>1.4735</v>
      </c>
      <c r="G79" s="151">
        <v>0</v>
      </c>
      <c r="H79" s="151">
        <v>0.33090000000000003</v>
      </c>
      <c r="I79" s="151">
        <v>1.7422</v>
      </c>
      <c r="J79" s="38">
        <f t="shared" si="17"/>
        <v>0.94997968958650592</v>
      </c>
      <c r="K79" s="82">
        <f t="shared" si="18"/>
        <v>50</v>
      </c>
      <c r="L79" s="40">
        <f t="shared" si="19"/>
        <v>5.1074176859489562E-2</v>
      </c>
      <c r="M79" s="159">
        <v>1928.2</v>
      </c>
      <c r="N79" s="41"/>
      <c r="O79" s="79">
        <f>'Organized Data'!L32</f>
        <v>56.113745999999999</v>
      </c>
    </row>
    <row r="80" spans="1:1022 1039:2048 2065:3056 3073:4082 4099:5108 5125:6134 6151:7160 7177:8186 8203:9212 9229:10238 10255:11264 11281:12272 12289:13298 13315:14324 14341:15350 15367:16376" ht="15">
      <c r="A80" s="168"/>
      <c r="B80" s="137"/>
      <c r="C80" s="133">
        <v>6</v>
      </c>
      <c r="D80" s="153">
        <v>95.694199999999995</v>
      </c>
      <c r="E80" s="154">
        <v>1083.5351599999999</v>
      </c>
      <c r="F80" s="151">
        <v>3.1181000000000001</v>
      </c>
      <c r="G80" s="151">
        <v>0</v>
      </c>
      <c r="H80" s="151">
        <v>0</v>
      </c>
      <c r="I80" s="151">
        <v>1.1877</v>
      </c>
      <c r="J80" s="38">
        <f t="shared" si="17"/>
        <v>0.31935096965520549</v>
      </c>
      <c r="K80" s="82">
        <f t="shared" si="18"/>
        <v>0</v>
      </c>
      <c r="L80" s="40">
        <f t="shared" si="19"/>
        <v>0</v>
      </c>
      <c r="M80" s="159">
        <v>1908.5</v>
      </c>
      <c r="N80" s="41"/>
      <c r="O80" s="79">
        <f>'Organized Data'!L33</f>
        <v>0</v>
      </c>
    </row>
    <row r="81" spans="1:1022 1039:2048 2065:3056 3073:4082 4099:5108 5125:6134 6151:7160 7177:8186 8203:9212 9229:10238 10255:11264 11281:12272 12289:13298 13315:14324 14341:15350 15367:16376" ht="15">
      <c r="A81" s="168"/>
      <c r="B81" s="137"/>
      <c r="C81" s="133">
        <v>7</v>
      </c>
      <c r="D81" s="153">
        <v>97.267600000000002</v>
      </c>
      <c r="E81" s="154">
        <v>1901.0349100000001</v>
      </c>
      <c r="F81" s="151">
        <v>1.5215000000000001</v>
      </c>
      <c r="G81" s="151">
        <v>0</v>
      </c>
      <c r="H81" s="151">
        <v>0</v>
      </c>
      <c r="I81" s="151">
        <v>1.1535</v>
      </c>
      <c r="J81" s="38">
        <f t="shared" si="17"/>
        <v>0.56029316285121411</v>
      </c>
      <c r="K81" s="82">
        <f t="shared" si="18"/>
        <v>1897.6</v>
      </c>
      <c r="L81" s="40">
        <f t="shared" si="19"/>
        <v>1.1432390385230793</v>
      </c>
      <c r="M81" s="159">
        <v>1897.6</v>
      </c>
      <c r="N81" s="41"/>
      <c r="O81" s="79">
        <f>'Organized Data'!L34</f>
        <v>1897.6</v>
      </c>
    </row>
    <row r="82" spans="1:1022 1039:2048 2065:3056 3073:4082 4099:5108 5125:6134 6151:7160 7177:8186 8203:9212 9229:10238 10255:11264 11281:12272 12289:13298 13315:14324 14341:15350 15367:16376" ht="15">
      <c r="A82" s="168"/>
      <c r="B82" s="137"/>
      <c r="C82" s="133">
        <v>8</v>
      </c>
      <c r="D82" s="153">
        <v>88.546899999999994</v>
      </c>
      <c r="E82" s="154">
        <v>2146.86499</v>
      </c>
      <c r="F82" s="151">
        <v>0.43740000000000001</v>
      </c>
      <c r="G82" s="151">
        <v>1.2157</v>
      </c>
      <c r="H82" s="151">
        <v>2.1006</v>
      </c>
      <c r="I82" s="151">
        <v>4.4379</v>
      </c>
      <c r="J82" s="38">
        <f t="shared" si="17"/>
        <v>0.632746810242238</v>
      </c>
      <c r="K82" s="82">
        <f t="shared" si="18"/>
        <v>1909.5</v>
      </c>
      <c r="L82" s="40">
        <f>J82*K82/0.93/1000</f>
        <v>1.2991720797393047</v>
      </c>
      <c r="M82" s="159">
        <v>1909.5</v>
      </c>
      <c r="N82" s="41"/>
      <c r="O82" s="79">
        <f>'Organized Data'!L35</f>
        <v>1909.5</v>
      </c>
    </row>
    <row r="83" spans="1:1022 1039:2048 2065:3056 3073:4082 4099:5108 5125:6134 6151:7160 7177:8186 8203:9212 9229:10238 10255:11264 11281:12272 12289:13298 13315:14324 14341:15350 15367:16376" ht="15">
      <c r="A83" s="168"/>
      <c r="B83" s="138"/>
      <c r="C83" s="133">
        <v>9</v>
      </c>
      <c r="D83" s="153">
        <v>84.459699999999998</v>
      </c>
      <c r="E83" s="154">
        <v>258.57772999999997</v>
      </c>
      <c r="F83" s="151">
        <v>0</v>
      </c>
      <c r="G83" s="151">
        <v>2.0310999999999999</v>
      </c>
      <c r="H83" s="151">
        <v>3.1194000000000002</v>
      </c>
      <c r="I83" s="151">
        <v>6.0338000000000003</v>
      </c>
      <c r="J83" s="38">
        <f t="shared" si="17"/>
        <v>7.6210769945612017E-2</v>
      </c>
      <c r="K83" s="82">
        <f t="shared" si="18"/>
        <v>0</v>
      </c>
      <c r="L83" s="40">
        <f t="shared" si="19"/>
        <v>0</v>
      </c>
      <c r="M83" s="159">
        <v>1919.8</v>
      </c>
      <c r="N83" s="41"/>
      <c r="O83" s="79">
        <f>'Organized Data'!L36</f>
        <v>0</v>
      </c>
    </row>
    <row r="84" spans="1:1022 1039:2048 2065:3056 3073:4082 4099:5108 5125:6134 6151:7160 7177:8186 8203:9212 9229:10238 10255:11264 11281:12272 12289:13298 13315:14324 14341:15350 15367:16376" ht="12" customHeight="1">
      <c r="A84" s="169"/>
      <c r="B84" s="134" t="s">
        <v>34</v>
      </c>
      <c r="C84" s="135"/>
      <c r="D84" s="135"/>
      <c r="E84" s="164"/>
      <c r="F84" s="164"/>
      <c r="G84" s="164"/>
      <c r="H84" s="164"/>
      <c r="I84" s="164"/>
      <c r="J84" s="164"/>
      <c r="K84" s="165"/>
      <c r="L84" s="166">
        <f>SUM(L77:L83)</f>
        <v>4.2361147718917618</v>
      </c>
      <c r="M84" s="165"/>
      <c r="N84" s="47"/>
    </row>
    <row r="85" spans="1:1022 1039:2048 2065:3056 3073:4082 4099:5108 5125:6134 6151:7160 7177:8186 8203:9212 9229:10238 10255:11264 11281:12272 12289:13298 13315:14324 14341:15350 15367:16376">
      <c r="A85" s="24"/>
      <c r="B85" s="24"/>
      <c r="O85" s="24"/>
      <c r="AE85" s="24"/>
      <c r="AF85" s="24"/>
      <c r="AW85" s="24"/>
      <c r="AX85" s="24"/>
      <c r="BO85" s="24"/>
      <c r="BP85" s="24"/>
      <c r="CG85" s="24"/>
      <c r="CH85" s="24"/>
      <c r="CY85" s="24"/>
      <c r="CZ85" s="24"/>
      <c r="DQ85" s="24"/>
      <c r="DR85" s="24"/>
      <c r="EI85" s="24"/>
      <c r="EJ85" s="24"/>
      <c r="FA85" s="24"/>
      <c r="FB85" s="24"/>
      <c r="FS85" s="24"/>
      <c r="FT85" s="24"/>
      <c r="GK85" s="24"/>
      <c r="GL85" s="24"/>
      <c r="HC85" s="24"/>
      <c r="HD85" s="24"/>
      <c r="HU85" s="24"/>
      <c r="HV85" s="24"/>
      <c r="IM85" s="24"/>
      <c r="IN85" s="24"/>
      <c r="JE85" s="24"/>
      <c r="JF85" s="24"/>
      <c r="JW85" s="24"/>
      <c r="JX85" s="24"/>
      <c r="KO85" s="24"/>
      <c r="KP85" s="24"/>
      <c r="LG85" s="24"/>
      <c r="LH85" s="24"/>
      <c r="LY85" s="24"/>
      <c r="LZ85" s="24"/>
      <c r="MQ85" s="24"/>
      <c r="MR85" s="24"/>
      <c r="NI85" s="24"/>
      <c r="NJ85" s="24"/>
      <c r="OA85" s="24"/>
      <c r="OB85" s="24"/>
      <c r="OS85" s="24"/>
      <c r="OT85" s="24"/>
      <c r="PK85" s="24"/>
      <c r="PL85" s="24"/>
      <c r="QC85" s="24"/>
      <c r="QD85" s="24"/>
      <c r="QU85" s="24"/>
      <c r="QV85" s="24"/>
      <c r="RM85" s="24"/>
      <c r="RN85" s="24"/>
      <c r="SE85" s="24"/>
      <c r="SF85" s="24"/>
      <c r="SW85" s="24"/>
      <c r="SX85" s="24"/>
      <c r="TO85" s="24"/>
      <c r="TP85" s="24"/>
      <c r="UG85" s="24"/>
      <c r="UH85" s="24"/>
      <c r="UY85" s="24"/>
      <c r="UZ85" s="24"/>
      <c r="VQ85" s="24"/>
      <c r="VR85" s="24"/>
      <c r="WI85" s="24"/>
      <c r="WJ85" s="24"/>
      <c r="XA85" s="24"/>
      <c r="XB85" s="24"/>
      <c r="XS85" s="24"/>
      <c r="XT85" s="24"/>
      <c r="YK85" s="24"/>
      <c r="YL85" s="24"/>
      <c r="ZC85" s="24"/>
      <c r="ZD85" s="24"/>
      <c r="ZU85" s="24"/>
      <c r="ZV85" s="24"/>
      <c r="AAM85" s="24"/>
      <c r="AAN85" s="24"/>
      <c r="ABE85" s="24"/>
      <c r="ABF85" s="24"/>
      <c r="ABW85" s="24"/>
      <c r="ABX85" s="24"/>
      <c r="ACO85" s="24"/>
      <c r="ACP85" s="24"/>
      <c r="ADG85" s="24"/>
      <c r="ADH85" s="24"/>
      <c r="ADY85" s="24"/>
      <c r="ADZ85" s="24"/>
      <c r="AEQ85" s="24"/>
      <c r="AER85" s="24"/>
      <c r="AFI85" s="24"/>
      <c r="AFJ85" s="24"/>
      <c r="AGA85" s="24"/>
      <c r="AGB85" s="24"/>
      <c r="AGS85" s="24"/>
      <c r="AGT85" s="24"/>
      <c r="AHK85" s="24"/>
      <c r="AHL85" s="24"/>
      <c r="AIC85" s="24"/>
      <c r="AID85" s="24"/>
      <c r="AIU85" s="24"/>
      <c r="AIV85" s="24"/>
      <c r="AJM85" s="24"/>
      <c r="AJN85" s="24"/>
      <c r="AKE85" s="24"/>
      <c r="AKF85" s="24"/>
      <c r="AKW85" s="24"/>
      <c r="AKX85" s="24"/>
      <c r="ALO85" s="24"/>
      <c r="ALP85" s="24"/>
      <c r="AMG85" s="24"/>
      <c r="AMH85" s="24"/>
      <c r="AMY85" s="24"/>
      <c r="AMZ85" s="24"/>
      <c r="ANQ85" s="24"/>
      <c r="ANR85" s="24"/>
      <c r="AOI85" s="24"/>
      <c r="AOJ85" s="24"/>
      <c r="APA85" s="24"/>
      <c r="APB85" s="24"/>
      <c r="APS85" s="24"/>
      <c r="APT85" s="24"/>
      <c r="AQK85" s="24"/>
      <c r="AQL85" s="24"/>
      <c r="ARC85" s="24"/>
      <c r="ARD85" s="24"/>
      <c r="ARU85" s="24"/>
      <c r="ARV85" s="24"/>
      <c r="ASM85" s="24"/>
      <c r="ASN85" s="24"/>
      <c r="ATE85" s="24"/>
      <c r="ATF85" s="24"/>
      <c r="ATW85" s="24"/>
      <c r="ATX85" s="24"/>
      <c r="AUO85" s="24"/>
      <c r="AUP85" s="24"/>
      <c r="AVG85" s="24"/>
      <c r="AVH85" s="24"/>
      <c r="AVY85" s="24"/>
      <c r="AVZ85" s="24"/>
      <c r="AWQ85" s="24"/>
      <c r="AWR85" s="24"/>
      <c r="AXI85" s="24"/>
      <c r="AXJ85" s="24"/>
      <c r="AYA85" s="24"/>
      <c r="AYB85" s="24"/>
      <c r="AYS85" s="24"/>
      <c r="AYT85" s="24"/>
      <c r="AZK85" s="24"/>
      <c r="AZL85" s="24"/>
      <c r="BAC85" s="24"/>
      <c r="BAD85" s="24"/>
      <c r="BAU85" s="24"/>
      <c r="BAV85" s="24"/>
      <c r="BBM85" s="24"/>
      <c r="BBN85" s="24"/>
      <c r="BCE85" s="24"/>
      <c r="BCF85" s="24"/>
      <c r="BCW85" s="24"/>
      <c r="BCX85" s="24"/>
      <c r="BDO85" s="24"/>
      <c r="BDP85" s="24"/>
      <c r="BEG85" s="24"/>
      <c r="BEH85" s="24"/>
      <c r="BEY85" s="24"/>
      <c r="BEZ85" s="24"/>
      <c r="BFQ85" s="24"/>
      <c r="BFR85" s="24"/>
      <c r="BGI85" s="24"/>
      <c r="BGJ85" s="24"/>
      <c r="BHA85" s="24"/>
      <c r="BHB85" s="24"/>
      <c r="BHS85" s="24"/>
      <c r="BHT85" s="24"/>
      <c r="BIK85" s="24"/>
      <c r="BIL85" s="24"/>
      <c r="BJC85" s="24"/>
      <c r="BJD85" s="24"/>
      <c r="BJU85" s="24"/>
      <c r="BJV85" s="24"/>
      <c r="BKM85" s="24"/>
      <c r="BKN85" s="24"/>
      <c r="BLE85" s="24"/>
      <c r="BLF85" s="24"/>
      <c r="BLW85" s="24"/>
      <c r="BLX85" s="24"/>
      <c r="BMO85" s="24"/>
      <c r="BMP85" s="24"/>
      <c r="BNG85" s="24"/>
      <c r="BNH85" s="24"/>
      <c r="BNY85" s="24"/>
      <c r="BNZ85" s="24"/>
      <c r="BOQ85" s="24"/>
      <c r="BOR85" s="24"/>
      <c r="BPI85" s="24"/>
      <c r="BPJ85" s="24"/>
      <c r="BQA85" s="24"/>
      <c r="BQB85" s="24"/>
      <c r="BQS85" s="24"/>
      <c r="BQT85" s="24"/>
      <c r="BRK85" s="24"/>
      <c r="BRL85" s="24"/>
      <c r="BSC85" s="24"/>
      <c r="BSD85" s="24"/>
      <c r="BSU85" s="24"/>
      <c r="BSV85" s="24"/>
      <c r="BTM85" s="24"/>
      <c r="BTN85" s="24"/>
      <c r="BUE85" s="24"/>
      <c r="BUF85" s="24"/>
      <c r="BUW85" s="24"/>
      <c r="BUX85" s="24"/>
      <c r="BVO85" s="24"/>
      <c r="BVP85" s="24"/>
      <c r="BWG85" s="24"/>
      <c r="BWH85" s="24"/>
      <c r="BWY85" s="24"/>
      <c r="BWZ85" s="24"/>
      <c r="BXQ85" s="24"/>
      <c r="BXR85" s="24"/>
      <c r="BYI85" s="24"/>
      <c r="BYJ85" s="24"/>
      <c r="BZA85" s="24"/>
      <c r="BZB85" s="24"/>
      <c r="BZS85" s="24"/>
      <c r="BZT85" s="24"/>
      <c r="CAK85" s="24"/>
      <c r="CAL85" s="24"/>
      <c r="CBC85" s="24"/>
      <c r="CBD85" s="24"/>
      <c r="CBU85" s="24"/>
      <c r="CBV85" s="24"/>
      <c r="CCM85" s="24"/>
      <c r="CCN85" s="24"/>
      <c r="CDE85" s="24"/>
      <c r="CDF85" s="24"/>
      <c r="CDW85" s="24"/>
      <c r="CDX85" s="24"/>
      <c r="CEO85" s="24"/>
      <c r="CEP85" s="24"/>
      <c r="CFG85" s="24"/>
      <c r="CFH85" s="24"/>
      <c r="CFY85" s="24"/>
      <c r="CFZ85" s="24"/>
      <c r="CGQ85" s="24"/>
      <c r="CGR85" s="24"/>
      <c r="CHI85" s="24"/>
      <c r="CHJ85" s="24"/>
      <c r="CIA85" s="24"/>
      <c r="CIB85" s="24"/>
      <c r="CIS85" s="24"/>
      <c r="CIT85" s="24"/>
      <c r="CJK85" s="24"/>
      <c r="CJL85" s="24"/>
      <c r="CKC85" s="24"/>
      <c r="CKD85" s="24"/>
      <c r="CKU85" s="24"/>
      <c r="CKV85" s="24"/>
      <c r="CLM85" s="24"/>
      <c r="CLN85" s="24"/>
      <c r="CME85" s="24"/>
      <c r="CMF85" s="24"/>
      <c r="CMW85" s="24"/>
      <c r="CMX85" s="24"/>
      <c r="CNO85" s="24"/>
      <c r="CNP85" s="24"/>
      <c r="COG85" s="24"/>
      <c r="COH85" s="24"/>
      <c r="COY85" s="24"/>
      <c r="COZ85" s="24"/>
      <c r="CPQ85" s="24"/>
      <c r="CPR85" s="24"/>
      <c r="CQI85" s="24"/>
      <c r="CQJ85" s="24"/>
      <c r="CRA85" s="24"/>
      <c r="CRB85" s="24"/>
      <c r="CRS85" s="24"/>
      <c r="CRT85" s="24"/>
      <c r="CSK85" s="24"/>
      <c r="CSL85" s="24"/>
      <c r="CTC85" s="24"/>
      <c r="CTD85" s="24"/>
      <c r="CTU85" s="24"/>
      <c r="CTV85" s="24"/>
      <c r="CUM85" s="24"/>
      <c r="CUN85" s="24"/>
      <c r="CVE85" s="24"/>
      <c r="CVF85" s="24"/>
      <c r="CVW85" s="24"/>
      <c r="CVX85" s="24"/>
      <c r="CWO85" s="24"/>
      <c r="CWP85" s="24"/>
      <c r="CXG85" s="24"/>
      <c r="CXH85" s="24"/>
      <c r="CXY85" s="24"/>
      <c r="CXZ85" s="24"/>
      <c r="CYQ85" s="24"/>
      <c r="CYR85" s="24"/>
      <c r="CZI85" s="24"/>
      <c r="CZJ85" s="24"/>
      <c r="DAA85" s="24"/>
      <c r="DAB85" s="24"/>
      <c r="DAS85" s="24"/>
      <c r="DAT85" s="24"/>
      <c r="DBK85" s="24"/>
      <c r="DBL85" s="24"/>
      <c r="DCC85" s="24"/>
      <c r="DCD85" s="24"/>
      <c r="DCU85" s="24"/>
      <c r="DCV85" s="24"/>
      <c r="DDM85" s="24"/>
      <c r="DDN85" s="24"/>
      <c r="DEE85" s="24"/>
      <c r="DEF85" s="24"/>
      <c r="DEW85" s="24"/>
      <c r="DEX85" s="24"/>
      <c r="DFO85" s="24"/>
      <c r="DFP85" s="24"/>
      <c r="DGG85" s="24"/>
      <c r="DGH85" s="24"/>
      <c r="DGY85" s="24"/>
      <c r="DGZ85" s="24"/>
      <c r="DHQ85" s="24"/>
      <c r="DHR85" s="24"/>
      <c r="DII85" s="24"/>
      <c r="DIJ85" s="24"/>
      <c r="DJA85" s="24"/>
      <c r="DJB85" s="24"/>
      <c r="DJS85" s="24"/>
      <c r="DJT85" s="24"/>
      <c r="DKK85" s="24"/>
      <c r="DKL85" s="24"/>
      <c r="DLC85" s="24"/>
      <c r="DLD85" s="24"/>
      <c r="DLU85" s="24"/>
      <c r="DLV85" s="24"/>
      <c r="DMM85" s="24"/>
      <c r="DMN85" s="24"/>
      <c r="DNE85" s="24"/>
      <c r="DNF85" s="24"/>
      <c r="DNW85" s="24"/>
      <c r="DNX85" s="24"/>
      <c r="DOO85" s="24"/>
      <c r="DOP85" s="24"/>
      <c r="DPG85" s="24"/>
      <c r="DPH85" s="24"/>
      <c r="DPY85" s="24"/>
      <c r="DPZ85" s="24"/>
      <c r="DQQ85" s="24"/>
      <c r="DQR85" s="24"/>
      <c r="DRI85" s="24"/>
      <c r="DRJ85" s="24"/>
      <c r="DSA85" s="24"/>
      <c r="DSB85" s="24"/>
      <c r="DSS85" s="24"/>
      <c r="DST85" s="24"/>
      <c r="DTK85" s="24"/>
      <c r="DTL85" s="24"/>
      <c r="DUC85" s="24"/>
      <c r="DUD85" s="24"/>
      <c r="DUU85" s="24"/>
      <c r="DUV85" s="24"/>
      <c r="DVM85" s="24"/>
      <c r="DVN85" s="24"/>
      <c r="DWE85" s="24"/>
      <c r="DWF85" s="24"/>
      <c r="DWW85" s="24"/>
      <c r="DWX85" s="24"/>
      <c r="DXO85" s="24"/>
      <c r="DXP85" s="24"/>
      <c r="DYG85" s="24"/>
      <c r="DYH85" s="24"/>
      <c r="DYY85" s="24"/>
      <c r="DYZ85" s="24"/>
      <c r="DZQ85" s="24"/>
      <c r="DZR85" s="24"/>
      <c r="EAI85" s="24"/>
      <c r="EAJ85" s="24"/>
      <c r="EBA85" s="24"/>
      <c r="EBB85" s="24"/>
      <c r="EBS85" s="24"/>
      <c r="EBT85" s="24"/>
      <c r="ECK85" s="24"/>
      <c r="ECL85" s="24"/>
      <c r="EDC85" s="24"/>
      <c r="EDD85" s="24"/>
      <c r="EDU85" s="24"/>
      <c r="EDV85" s="24"/>
      <c r="EEM85" s="24"/>
      <c r="EEN85" s="24"/>
      <c r="EFE85" s="24"/>
      <c r="EFF85" s="24"/>
      <c r="EFW85" s="24"/>
      <c r="EFX85" s="24"/>
      <c r="EGO85" s="24"/>
      <c r="EGP85" s="24"/>
      <c r="EHG85" s="24"/>
      <c r="EHH85" s="24"/>
      <c r="EHY85" s="24"/>
      <c r="EHZ85" s="24"/>
      <c r="EIQ85" s="24"/>
      <c r="EIR85" s="24"/>
      <c r="EJI85" s="24"/>
      <c r="EJJ85" s="24"/>
      <c r="EKA85" s="24"/>
      <c r="EKB85" s="24"/>
      <c r="EKS85" s="24"/>
      <c r="EKT85" s="24"/>
      <c r="ELK85" s="24"/>
      <c r="ELL85" s="24"/>
      <c r="EMC85" s="24"/>
      <c r="EMD85" s="24"/>
      <c r="EMU85" s="24"/>
      <c r="EMV85" s="24"/>
      <c r="ENM85" s="24"/>
      <c r="ENN85" s="24"/>
      <c r="EOE85" s="24"/>
      <c r="EOF85" s="24"/>
      <c r="EOW85" s="24"/>
      <c r="EOX85" s="24"/>
      <c r="EPO85" s="24"/>
      <c r="EPP85" s="24"/>
      <c r="EQG85" s="24"/>
      <c r="EQH85" s="24"/>
      <c r="EQY85" s="24"/>
      <c r="EQZ85" s="24"/>
      <c r="ERQ85" s="24"/>
      <c r="ERR85" s="24"/>
      <c r="ESI85" s="24"/>
      <c r="ESJ85" s="24"/>
      <c r="ETA85" s="24"/>
      <c r="ETB85" s="24"/>
      <c r="ETS85" s="24"/>
      <c r="ETT85" s="24"/>
      <c r="EUK85" s="24"/>
      <c r="EUL85" s="24"/>
      <c r="EVC85" s="24"/>
      <c r="EVD85" s="24"/>
      <c r="EVU85" s="24"/>
      <c r="EVV85" s="24"/>
      <c r="EWM85" s="24"/>
      <c r="EWN85" s="24"/>
      <c r="EXE85" s="24"/>
      <c r="EXF85" s="24"/>
      <c r="EXW85" s="24"/>
      <c r="EXX85" s="24"/>
      <c r="EYO85" s="24"/>
      <c r="EYP85" s="24"/>
      <c r="EZG85" s="24"/>
      <c r="EZH85" s="24"/>
      <c r="EZY85" s="24"/>
      <c r="EZZ85" s="24"/>
      <c r="FAQ85" s="24"/>
      <c r="FAR85" s="24"/>
      <c r="FBI85" s="24"/>
      <c r="FBJ85" s="24"/>
      <c r="FCA85" s="24"/>
      <c r="FCB85" s="24"/>
      <c r="FCS85" s="24"/>
      <c r="FCT85" s="24"/>
      <c r="FDK85" s="24"/>
      <c r="FDL85" s="24"/>
      <c r="FEC85" s="24"/>
      <c r="FED85" s="24"/>
      <c r="FEU85" s="24"/>
      <c r="FEV85" s="24"/>
      <c r="FFM85" s="24"/>
      <c r="FFN85" s="24"/>
      <c r="FGE85" s="24"/>
      <c r="FGF85" s="24"/>
      <c r="FGW85" s="24"/>
      <c r="FGX85" s="24"/>
      <c r="FHO85" s="24"/>
      <c r="FHP85" s="24"/>
      <c r="FIG85" s="24"/>
      <c r="FIH85" s="24"/>
      <c r="FIY85" s="24"/>
      <c r="FIZ85" s="24"/>
      <c r="FJQ85" s="24"/>
      <c r="FJR85" s="24"/>
      <c r="FKI85" s="24"/>
      <c r="FKJ85" s="24"/>
      <c r="FLA85" s="24"/>
      <c r="FLB85" s="24"/>
      <c r="FLS85" s="24"/>
      <c r="FLT85" s="24"/>
      <c r="FMK85" s="24"/>
      <c r="FML85" s="24"/>
      <c r="FNC85" s="24"/>
      <c r="FND85" s="24"/>
      <c r="FNU85" s="24"/>
      <c r="FNV85" s="24"/>
      <c r="FOM85" s="24"/>
      <c r="FON85" s="24"/>
      <c r="FPE85" s="24"/>
      <c r="FPF85" s="24"/>
      <c r="FPW85" s="24"/>
      <c r="FPX85" s="24"/>
      <c r="FQO85" s="24"/>
      <c r="FQP85" s="24"/>
      <c r="FRG85" s="24"/>
      <c r="FRH85" s="24"/>
      <c r="FRY85" s="24"/>
      <c r="FRZ85" s="24"/>
      <c r="FSQ85" s="24"/>
      <c r="FSR85" s="24"/>
      <c r="FTI85" s="24"/>
      <c r="FTJ85" s="24"/>
      <c r="FUA85" s="24"/>
      <c r="FUB85" s="24"/>
      <c r="FUS85" s="24"/>
      <c r="FUT85" s="24"/>
      <c r="FVK85" s="24"/>
      <c r="FVL85" s="24"/>
      <c r="FWC85" s="24"/>
      <c r="FWD85" s="24"/>
      <c r="FWU85" s="24"/>
      <c r="FWV85" s="24"/>
      <c r="FXM85" s="24"/>
      <c r="FXN85" s="24"/>
      <c r="FYE85" s="24"/>
      <c r="FYF85" s="24"/>
      <c r="FYW85" s="24"/>
      <c r="FYX85" s="24"/>
      <c r="FZO85" s="24"/>
      <c r="FZP85" s="24"/>
      <c r="GAG85" s="24"/>
      <c r="GAH85" s="24"/>
      <c r="GAY85" s="24"/>
      <c r="GAZ85" s="24"/>
      <c r="GBQ85" s="24"/>
      <c r="GBR85" s="24"/>
      <c r="GCI85" s="24"/>
      <c r="GCJ85" s="24"/>
      <c r="GDA85" s="24"/>
      <c r="GDB85" s="24"/>
      <c r="GDS85" s="24"/>
      <c r="GDT85" s="24"/>
      <c r="GEK85" s="24"/>
      <c r="GEL85" s="24"/>
      <c r="GFC85" s="24"/>
      <c r="GFD85" s="24"/>
      <c r="GFU85" s="24"/>
      <c r="GFV85" s="24"/>
      <c r="GGM85" s="24"/>
      <c r="GGN85" s="24"/>
      <c r="GHE85" s="24"/>
      <c r="GHF85" s="24"/>
      <c r="GHW85" s="24"/>
      <c r="GHX85" s="24"/>
      <c r="GIO85" s="24"/>
      <c r="GIP85" s="24"/>
      <c r="GJG85" s="24"/>
      <c r="GJH85" s="24"/>
      <c r="GJY85" s="24"/>
      <c r="GJZ85" s="24"/>
      <c r="GKQ85" s="24"/>
      <c r="GKR85" s="24"/>
      <c r="GLI85" s="24"/>
      <c r="GLJ85" s="24"/>
      <c r="GMA85" s="24"/>
      <c r="GMB85" s="24"/>
      <c r="GMS85" s="24"/>
      <c r="GMT85" s="24"/>
      <c r="GNK85" s="24"/>
      <c r="GNL85" s="24"/>
      <c r="GOC85" s="24"/>
      <c r="GOD85" s="24"/>
      <c r="GOU85" s="24"/>
      <c r="GOV85" s="24"/>
      <c r="GPM85" s="24"/>
      <c r="GPN85" s="24"/>
      <c r="GQE85" s="24"/>
      <c r="GQF85" s="24"/>
      <c r="GQW85" s="24"/>
      <c r="GQX85" s="24"/>
      <c r="GRO85" s="24"/>
      <c r="GRP85" s="24"/>
      <c r="GSG85" s="24"/>
      <c r="GSH85" s="24"/>
      <c r="GSY85" s="24"/>
      <c r="GSZ85" s="24"/>
      <c r="GTQ85" s="24"/>
      <c r="GTR85" s="24"/>
      <c r="GUI85" s="24"/>
      <c r="GUJ85" s="24"/>
      <c r="GVA85" s="24"/>
      <c r="GVB85" s="24"/>
      <c r="GVS85" s="24"/>
      <c r="GVT85" s="24"/>
      <c r="GWK85" s="24"/>
      <c r="GWL85" s="24"/>
      <c r="GXC85" s="24"/>
      <c r="GXD85" s="24"/>
      <c r="GXU85" s="24"/>
      <c r="GXV85" s="24"/>
      <c r="GYM85" s="24"/>
      <c r="GYN85" s="24"/>
      <c r="GZE85" s="24"/>
      <c r="GZF85" s="24"/>
      <c r="GZW85" s="24"/>
      <c r="GZX85" s="24"/>
      <c r="HAO85" s="24"/>
      <c r="HAP85" s="24"/>
      <c r="HBG85" s="24"/>
      <c r="HBH85" s="24"/>
      <c r="HBY85" s="24"/>
      <c r="HBZ85" s="24"/>
      <c r="HCQ85" s="24"/>
      <c r="HCR85" s="24"/>
      <c r="HDI85" s="24"/>
      <c r="HDJ85" s="24"/>
      <c r="HEA85" s="24"/>
      <c r="HEB85" s="24"/>
      <c r="HES85" s="24"/>
      <c r="HET85" s="24"/>
      <c r="HFK85" s="24"/>
      <c r="HFL85" s="24"/>
      <c r="HGC85" s="24"/>
      <c r="HGD85" s="24"/>
      <c r="HGU85" s="24"/>
      <c r="HGV85" s="24"/>
      <c r="HHM85" s="24"/>
      <c r="HHN85" s="24"/>
      <c r="HIE85" s="24"/>
      <c r="HIF85" s="24"/>
      <c r="HIW85" s="24"/>
      <c r="HIX85" s="24"/>
      <c r="HJO85" s="24"/>
      <c r="HJP85" s="24"/>
      <c r="HKG85" s="24"/>
      <c r="HKH85" s="24"/>
      <c r="HKY85" s="24"/>
      <c r="HKZ85" s="24"/>
      <c r="HLQ85" s="24"/>
      <c r="HLR85" s="24"/>
      <c r="HMI85" s="24"/>
      <c r="HMJ85" s="24"/>
      <c r="HNA85" s="24"/>
      <c r="HNB85" s="24"/>
      <c r="HNS85" s="24"/>
      <c r="HNT85" s="24"/>
      <c r="HOK85" s="24"/>
      <c r="HOL85" s="24"/>
      <c r="HPC85" s="24"/>
      <c r="HPD85" s="24"/>
      <c r="HPU85" s="24"/>
      <c r="HPV85" s="24"/>
      <c r="HQM85" s="24"/>
      <c r="HQN85" s="24"/>
      <c r="HRE85" s="24"/>
      <c r="HRF85" s="24"/>
      <c r="HRW85" s="24"/>
      <c r="HRX85" s="24"/>
      <c r="HSO85" s="24"/>
      <c r="HSP85" s="24"/>
      <c r="HTG85" s="24"/>
      <c r="HTH85" s="24"/>
      <c r="HTY85" s="24"/>
      <c r="HTZ85" s="24"/>
      <c r="HUQ85" s="24"/>
      <c r="HUR85" s="24"/>
      <c r="HVI85" s="24"/>
      <c r="HVJ85" s="24"/>
      <c r="HWA85" s="24"/>
      <c r="HWB85" s="24"/>
      <c r="HWS85" s="24"/>
      <c r="HWT85" s="24"/>
      <c r="HXK85" s="24"/>
      <c r="HXL85" s="24"/>
      <c r="HYC85" s="24"/>
      <c r="HYD85" s="24"/>
      <c r="HYU85" s="24"/>
      <c r="HYV85" s="24"/>
      <c r="HZM85" s="24"/>
      <c r="HZN85" s="24"/>
      <c r="IAE85" s="24"/>
      <c r="IAF85" s="24"/>
      <c r="IAW85" s="24"/>
      <c r="IAX85" s="24"/>
      <c r="IBO85" s="24"/>
      <c r="IBP85" s="24"/>
      <c r="ICG85" s="24"/>
      <c r="ICH85" s="24"/>
      <c r="ICY85" s="24"/>
      <c r="ICZ85" s="24"/>
      <c r="IDQ85" s="24"/>
      <c r="IDR85" s="24"/>
      <c r="IEI85" s="24"/>
      <c r="IEJ85" s="24"/>
      <c r="IFA85" s="24"/>
      <c r="IFB85" s="24"/>
      <c r="IFS85" s="24"/>
      <c r="IFT85" s="24"/>
      <c r="IGK85" s="24"/>
      <c r="IGL85" s="24"/>
      <c r="IHC85" s="24"/>
      <c r="IHD85" s="24"/>
      <c r="IHU85" s="24"/>
      <c r="IHV85" s="24"/>
      <c r="IIM85" s="24"/>
      <c r="IIN85" s="24"/>
      <c r="IJE85" s="24"/>
      <c r="IJF85" s="24"/>
      <c r="IJW85" s="24"/>
      <c r="IJX85" s="24"/>
      <c r="IKO85" s="24"/>
      <c r="IKP85" s="24"/>
      <c r="ILG85" s="24"/>
      <c r="ILH85" s="24"/>
      <c r="ILY85" s="24"/>
      <c r="ILZ85" s="24"/>
      <c r="IMQ85" s="24"/>
      <c r="IMR85" s="24"/>
      <c r="INI85" s="24"/>
      <c r="INJ85" s="24"/>
      <c r="IOA85" s="24"/>
      <c r="IOB85" s="24"/>
      <c r="IOS85" s="24"/>
      <c r="IOT85" s="24"/>
      <c r="IPK85" s="24"/>
      <c r="IPL85" s="24"/>
      <c r="IQC85" s="24"/>
      <c r="IQD85" s="24"/>
      <c r="IQU85" s="24"/>
      <c r="IQV85" s="24"/>
      <c r="IRM85" s="24"/>
      <c r="IRN85" s="24"/>
      <c r="ISE85" s="24"/>
      <c r="ISF85" s="24"/>
      <c r="ISW85" s="24"/>
      <c r="ISX85" s="24"/>
      <c r="ITO85" s="24"/>
      <c r="ITP85" s="24"/>
      <c r="IUG85" s="24"/>
      <c r="IUH85" s="24"/>
      <c r="IUY85" s="24"/>
      <c r="IUZ85" s="24"/>
      <c r="IVQ85" s="24"/>
      <c r="IVR85" s="24"/>
      <c r="IWI85" s="24"/>
      <c r="IWJ85" s="24"/>
      <c r="IXA85" s="24"/>
      <c r="IXB85" s="24"/>
      <c r="IXS85" s="24"/>
      <c r="IXT85" s="24"/>
      <c r="IYK85" s="24"/>
      <c r="IYL85" s="24"/>
      <c r="IZC85" s="24"/>
      <c r="IZD85" s="24"/>
      <c r="IZU85" s="24"/>
      <c r="IZV85" s="24"/>
      <c r="JAM85" s="24"/>
      <c r="JAN85" s="24"/>
      <c r="JBE85" s="24"/>
      <c r="JBF85" s="24"/>
      <c r="JBW85" s="24"/>
      <c r="JBX85" s="24"/>
      <c r="JCO85" s="24"/>
      <c r="JCP85" s="24"/>
      <c r="JDG85" s="24"/>
      <c r="JDH85" s="24"/>
      <c r="JDY85" s="24"/>
      <c r="JDZ85" s="24"/>
      <c r="JEQ85" s="24"/>
      <c r="JER85" s="24"/>
      <c r="JFI85" s="24"/>
      <c r="JFJ85" s="24"/>
      <c r="JGA85" s="24"/>
      <c r="JGB85" s="24"/>
      <c r="JGS85" s="24"/>
      <c r="JGT85" s="24"/>
      <c r="JHK85" s="24"/>
      <c r="JHL85" s="24"/>
      <c r="JIC85" s="24"/>
      <c r="JID85" s="24"/>
      <c r="JIU85" s="24"/>
      <c r="JIV85" s="24"/>
      <c r="JJM85" s="24"/>
      <c r="JJN85" s="24"/>
      <c r="JKE85" s="24"/>
      <c r="JKF85" s="24"/>
      <c r="JKW85" s="24"/>
      <c r="JKX85" s="24"/>
      <c r="JLO85" s="24"/>
      <c r="JLP85" s="24"/>
      <c r="JMG85" s="24"/>
      <c r="JMH85" s="24"/>
      <c r="JMY85" s="24"/>
      <c r="JMZ85" s="24"/>
      <c r="JNQ85" s="24"/>
      <c r="JNR85" s="24"/>
      <c r="JOI85" s="24"/>
      <c r="JOJ85" s="24"/>
      <c r="JPA85" s="24"/>
      <c r="JPB85" s="24"/>
      <c r="JPS85" s="24"/>
      <c r="JPT85" s="24"/>
      <c r="JQK85" s="24"/>
      <c r="JQL85" s="24"/>
      <c r="JRC85" s="24"/>
      <c r="JRD85" s="24"/>
      <c r="JRU85" s="24"/>
      <c r="JRV85" s="24"/>
      <c r="JSM85" s="24"/>
      <c r="JSN85" s="24"/>
      <c r="JTE85" s="24"/>
      <c r="JTF85" s="24"/>
      <c r="JTW85" s="24"/>
      <c r="JTX85" s="24"/>
      <c r="JUO85" s="24"/>
      <c r="JUP85" s="24"/>
      <c r="JVG85" s="24"/>
      <c r="JVH85" s="24"/>
      <c r="JVY85" s="24"/>
      <c r="JVZ85" s="24"/>
      <c r="JWQ85" s="24"/>
      <c r="JWR85" s="24"/>
      <c r="JXI85" s="24"/>
      <c r="JXJ85" s="24"/>
      <c r="JYA85" s="24"/>
      <c r="JYB85" s="24"/>
      <c r="JYS85" s="24"/>
      <c r="JYT85" s="24"/>
      <c r="JZK85" s="24"/>
      <c r="JZL85" s="24"/>
      <c r="KAC85" s="24"/>
      <c r="KAD85" s="24"/>
      <c r="KAU85" s="24"/>
      <c r="KAV85" s="24"/>
      <c r="KBM85" s="24"/>
      <c r="KBN85" s="24"/>
      <c r="KCE85" s="24"/>
      <c r="KCF85" s="24"/>
      <c r="KCW85" s="24"/>
      <c r="KCX85" s="24"/>
      <c r="KDO85" s="24"/>
      <c r="KDP85" s="24"/>
      <c r="KEG85" s="24"/>
      <c r="KEH85" s="24"/>
      <c r="KEY85" s="24"/>
      <c r="KEZ85" s="24"/>
      <c r="KFQ85" s="24"/>
      <c r="KFR85" s="24"/>
      <c r="KGI85" s="24"/>
      <c r="KGJ85" s="24"/>
      <c r="KHA85" s="24"/>
      <c r="KHB85" s="24"/>
      <c r="KHS85" s="24"/>
      <c r="KHT85" s="24"/>
      <c r="KIK85" s="24"/>
      <c r="KIL85" s="24"/>
      <c r="KJC85" s="24"/>
      <c r="KJD85" s="24"/>
      <c r="KJU85" s="24"/>
      <c r="KJV85" s="24"/>
      <c r="KKM85" s="24"/>
      <c r="KKN85" s="24"/>
      <c r="KLE85" s="24"/>
      <c r="KLF85" s="24"/>
      <c r="KLW85" s="24"/>
      <c r="KLX85" s="24"/>
      <c r="KMO85" s="24"/>
      <c r="KMP85" s="24"/>
      <c r="KNG85" s="24"/>
      <c r="KNH85" s="24"/>
      <c r="KNY85" s="24"/>
      <c r="KNZ85" s="24"/>
      <c r="KOQ85" s="24"/>
      <c r="KOR85" s="24"/>
      <c r="KPI85" s="24"/>
      <c r="KPJ85" s="24"/>
      <c r="KQA85" s="24"/>
      <c r="KQB85" s="24"/>
      <c r="KQS85" s="24"/>
      <c r="KQT85" s="24"/>
      <c r="KRK85" s="24"/>
      <c r="KRL85" s="24"/>
      <c r="KSC85" s="24"/>
      <c r="KSD85" s="24"/>
      <c r="KSU85" s="24"/>
      <c r="KSV85" s="24"/>
      <c r="KTM85" s="24"/>
      <c r="KTN85" s="24"/>
      <c r="KUE85" s="24"/>
      <c r="KUF85" s="24"/>
      <c r="KUW85" s="24"/>
      <c r="KUX85" s="24"/>
      <c r="KVO85" s="24"/>
      <c r="KVP85" s="24"/>
      <c r="KWG85" s="24"/>
      <c r="KWH85" s="24"/>
      <c r="KWY85" s="24"/>
      <c r="KWZ85" s="24"/>
      <c r="KXQ85" s="24"/>
      <c r="KXR85" s="24"/>
      <c r="KYI85" s="24"/>
      <c r="KYJ85" s="24"/>
      <c r="KZA85" s="24"/>
      <c r="KZB85" s="24"/>
      <c r="KZS85" s="24"/>
      <c r="KZT85" s="24"/>
      <c r="LAK85" s="24"/>
      <c r="LAL85" s="24"/>
      <c r="LBC85" s="24"/>
      <c r="LBD85" s="24"/>
      <c r="LBU85" s="24"/>
      <c r="LBV85" s="24"/>
      <c r="LCM85" s="24"/>
      <c r="LCN85" s="24"/>
      <c r="LDE85" s="24"/>
      <c r="LDF85" s="24"/>
      <c r="LDW85" s="24"/>
      <c r="LDX85" s="24"/>
      <c r="LEO85" s="24"/>
      <c r="LEP85" s="24"/>
      <c r="LFG85" s="24"/>
      <c r="LFH85" s="24"/>
      <c r="LFY85" s="24"/>
      <c r="LFZ85" s="24"/>
      <c r="LGQ85" s="24"/>
      <c r="LGR85" s="24"/>
      <c r="LHI85" s="24"/>
      <c r="LHJ85" s="24"/>
      <c r="LIA85" s="24"/>
      <c r="LIB85" s="24"/>
      <c r="LIS85" s="24"/>
      <c r="LIT85" s="24"/>
      <c r="LJK85" s="24"/>
      <c r="LJL85" s="24"/>
      <c r="LKC85" s="24"/>
      <c r="LKD85" s="24"/>
      <c r="LKU85" s="24"/>
      <c r="LKV85" s="24"/>
      <c r="LLM85" s="24"/>
      <c r="LLN85" s="24"/>
      <c r="LME85" s="24"/>
      <c r="LMF85" s="24"/>
      <c r="LMW85" s="24"/>
      <c r="LMX85" s="24"/>
      <c r="LNO85" s="24"/>
      <c r="LNP85" s="24"/>
      <c r="LOG85" s="24"/>
      <c r="LOH85" s="24"/>
      <c r="LOY85" s="24"/>
      <c r="LOZ85" s="24"/>
      <c r="LPQ85" s="24"/>
      <c r="LPR85" s="24"/>
      <c r="LQI85" s="24"/>
      <c r="LQJ85" s="24"/>
      <c r="LRA85" s="24"/>
      <c r="LRB85" s="24"/>
      <c r="LRS85" s="24"/>
      <c r="LRT85" s="24"/>
      <c r="LSK85" s="24"/>
      <c r="LSL85" s="24"/>
      <c r="LTC85" s="24"/>
      <c r="LTD85" s="24"/>
      <c r="LTU85" s="24"/>
      <c r="LTV85" s="24"/>
      <c r="LUM85" s="24"/>
      <c r="LUN85" s="24"/>
      <c r="LVE85" s="24"/>
      <c r="LVF85" s="24"/>
      <c r="LVW85" s="24"/>
      <c r="LVX85" s="24"/>
      <c r="LWO85" s="24"/>
      <c r="LWP85" s="24"/>
      <c r="LXG85" s="24"/>
      <c r="LXH85" s="24"/>
      <c r="LXY85" s="24"/>
      <c r="LXZ85" s="24"/>
      <c r="LYQ85" s="24"/>
      <c r="LYR85" s="24"/>
      <c r="LZI85" s="24"/>
      <c r="LZJ85" s="24"/>
      <c r="MAA85" s="24"/>
      <c r="MAB85" s="24"/>
      <c r="MAS85" s="24"/>
      <c r="MAT85" s="24"/>
      <c r="MBK85" s="24"/>
      <c r="MBL85" s="24"/>
      <c r="MCC85" s="24"/>
      <c r="MCD85" s="24"/>
      <c r="MCU85" s="24"/>
      <c r="MCV85" s="24"/>
      <c r="MDM85" s="24"/>
      <c r="MDN85" s="24"/>
      <c r="MEE85" s="24"/>
      <c r="MEF85" s="24"/>
      <c r="MEW85" s="24"/>
      <c r="MEX85" s="24"/>
      <c r="MFO85" s="24"/>
      <c r="MFP85" s="24"/>
      <c r="MGG85" s="24"/>
      <c r="MGH85" s="24"/>
      <c r="MGY85" s="24"/>
      <c r="MGZ85" s="24"/>
      <c r="MHQ85" s="24"/>
      <c r="MHR85" s="24"/>
      <c r="MII85" s="24"/>
      <c r="MIJ85" s="24"/>
      <c r="MJA85" s="24"/>
      <c r="MJB85" s="24"/>
      <c r="MJS85" s="24"/>
      <c r="MJT85" s="24"/>
      <c r="MKK85" s="24"/>
      <c r="MKL85" s="24"/>
      <c r="MLC85" s="24"/>
      <c r="MLD85" s="24"/>
      <c r="MLU85" s="24"/>
      <c r="MLV85" s="24"/>
      <c r="MMM85" s="24"/>
      <c r="MMN85" s="24"/>
      <c r="MNE85" s="24"/>
      <c r="MNF85" s="24"/>
      <c r="MNW85" s="24"/>
      <c r="MNX85" s="24"/>
      <c r="MOO85" s="24"/>
      <c r="MOP85" s="24"/>
      <c r="MPG85" s="24"/>
      <c r="MPH85" s="24"/>
      <c r="MPY85" s="24"/>
      <c r="MPZ85" s="24"/>
      <c r="MQQ85" s="24"/>
      <c r="MQR85" s="24"/>
      <c r="MRI85" s="24"/>
      <c r="MRJ85" s="24"/>
      <c r="MSA85" s="24"/>
      <c r="MSB85" s="24"/>
      <c r="MSS85" s="24"/>
      <c r="MST85" s="24"/>
      <c r="MTK85" s="24"/>
      <c r="MTL85" s="24"/>
      <c r="MUC85" s="24"/>
      <c r="MUD85" s="24"/>
      <c r="MUU85" s="24"/>
      <c r="MUV85" s="24"/>
      <c r="MVM85" s="24"/>
      <c r="MVN85" s="24"/>
      <c r="MWE85" s="24"/>
      <c r="MWF85" s="24"/>
      <c r="MWW85" s="24"/>
      <c r="MWX85" s="24"/>
      <c r="MXO85" s="24"/>
      <c r="MXP85" s="24"/>
      <c r="MYG85" s="24"/>
      <c r="MYH85" s="24"/>
      <c r="MYY85" s="24"/>
      <c r="MYZ85" s="24"/>
      <c r="MZQ85" s="24"/>
      <c r="MZR85" s="24"/>
      <c r="NAI85" s="24"/>
      <c r="NAJ85" s="24"/>
      <c r="NBA85" s="24"/>
      <c r="NBB85" s="24"/>
      <c r="NBS85" s="24"/>
      <c r="NBT85" s="24"/>
      <c r="NCK85" s="24"/>
      <c r="NCL85" s="24"/>
      <c r="NDC85" s="24"/>
      <c r="NDD85" s="24"/>
      <c r="NDU85" s="24"/>
      <c r="NDV85" s="24"/>
      <c r="NEM85" s="24"/>
      <c r="NEN85" s="24"/>
      <c r="NFE85" s="24"/>
      <c r="NFF85" s="24"/>
      <c r="NFW85" s="24"/>
      <c r="NFX85" s="24"/>
      <c r="NGO85" s="24"/>
      <c r="NGP85" s="24"/>
      <c r="NHG85" s="24"/>
      <c r="NHH85" s="24"/>
      <c r="NHY85" s="24"/>
      <c r="NHZ85" s="24"/>
      <c r="NIQ85" s="24"/>
      <c r="NIR85" s="24"/>
      <c r="NJI85" s="24"/>
      <c r="NJJ85" s="24"/>
      <c r="NKA85" s="24"/>
      <c r="NKB85" s="24"/>
      <c r="NKS85" s="24"/>
      <c r="NKT85" s="24"/>
      <c r="NLK85" s="24"/>
      <c r="NLL85" s="24"/>
      <c r="NMC85" s="24"/>
      <c r="NMD85" s="24"/>
      <c r="NMU85" s="24"/>
      <c r="NMV85" s="24"/>
      <c r="NNM85" s="24"/>
      <c r="NNN85" s="24"/>
      <c r="NOE85" s="24"/>
      <c r="NOF85" s="24"/>
      <c r="NOW85" s="24"/>
      <c r="NOX85" s="24"/>
      <c r="NPO85" s="24"/>
      <c r="NPP85" s="24"/>
      <c r="NQG85" s="24"/>
      <c r="NQH85" s="24"/>
      <c r="NQY85" s="24"/>
      <c r="NQZ85" s="24"/>
      <c r="NRQ85" s="24"/>
      <c r="NRR85" s="24"/>
      <c r="NSI85" s="24"/>
      <c r="NSJ85" s="24"/>
      <c r="NTA85" s="24"/>
      <c r="NTB85" s="24"/>
      <c r="NTS85" s="24"/>
      <c r="NTT85" s="24"/>
      <c r="NUK85" s="24"/>
      <c r="NUL85" s="24"/>
      <c r="NVC85" s="24"/>
      <c r="NVD85" s="24"/>
      <c r="NVU85" s="24"/>
      <c r="NVV85" s="24"/>
      <c r="NWM85" s="24"/>
      <c r="NWN85" s="24"/>
      <c r="NXE85" s="24"/>
      <c r="NXF85" s="24"/>
      <c r="NXW85" s="24"/>
      <c r="NXX85" s="24"/>
      <c r="NYO85" s="24"/>
      <c r="NYP85" s="24"/>
      <c r="NZG85" s="24"/>
      <c r="NZH85" s="24"/>
      <c r="NZY85" s="24"/>
      <c r="NZZ85" s="24"/>
      <c r="OAQ85" s="24"/>
      <c r="OAR85" s="24"/>
      <c r="OBI85" s="24"/>
      <c r="OBJ85" s="24"/>
      <c r="OCA85" s="24"/>
      <c r="OCB85" s="24"/>
      <c r="OCS85" s="24"/>
      <c r="OCT85" s="24"/>
      <c r="ODK85" s="24"/>
      <c r="ODL85" s="24"/>
      <c r="OEC85" s="24"/>
      <c r="OED85" s="24"/>
      <c r="OEU85" s="24"/>
      <c r="OEV85" s="24"/>
      <c r="OFM85" s="24"/>
      <c r="OFN85" s="24"/>
      <c r="OGE85" s="24"/>
      <c r="OGF85" s="24"/>
      <c r="OGW85" s="24"/>
      <c r="OGX85" s="24"/>
      <c r="OHO85" s="24"/>
      <c r="OHP85" s="24"/>
      <c r="OIG85" s="24"/>
      <c r="OIH85" s="24"/>
      <c r="OIY85" s="24"/>
      <c r="OIZ85" s="24"/>
      <c r="OJQ85" s="24"/>
      <c r="OJR85" s="24"/>
      <c r="OKI85" s="24"/>
      <c r="OKJ85" s="24"/>
      <c r="OLA85" s="24"/>
      <c r="OLB85" s="24"/>
      <c r="OLS85" s="24"/>
      <c r="OLT85" s="24"/>
      <c r="OMK85" s="24"/>
      <c r="OML85" s="24"/>
      <c r="ONC85" s="24"/>
      <c r="OND85" s="24"/>
      <c r="ONU85" s="24"/>
      <c r="ONV85" s="24"/>
      <c r="OOM85" s="24"/>
      <c r="OON85" s="24"/>
      <c r="OPE85" s="24"/>
      <c r="OPF85" s="24"/>
      <c r="OPW85" s="24"/>
      <c r="OPX85" s="24"/>
      <c r="OQO85" s="24"/>
      <c r="OQP85" s="24"/>
      <c r="ORG85" s="24"/>
      <c r="ORH85" s="24"/>
      <c r="ORY85" s="24"/>
      <c r="ORZ85" s="24"/>
      <c r="OSQ85" s="24"/>
      <c r="OSR85" s="24"/>
      <c r="OTI85" s="24"/>
      <c r="OTJ85" s="24"/>
      <c r="OUA85" s="24"/>
      <c r="OUB85" s="24"/>
      <c r="OUS85" s="24"/>
      <c r="OUT85" s="24"/>
      <c r="OVK85" s="24"/>
      <c r="OVL85" s="24"/>
      <c r="OWC85" s="24"/>
      <c r="OWD85" s="24"/>
      <c r="OWU85" s="24"/>
      <c r="OWV85" s="24"/>
      <c r="OXM85" s="24"/>
      <c r="OXN85" s="24"/>
      <c r="OYE85" s="24"/>
      <c r="OYF85" s="24"/>
      <c r="OYW85" s="24"/>
      <c r="OYX85" s="24"/>
      <c r="OZO85" s="24"/>
      <c r="OZP85" s="24"/>
      <c r="PAG85" s="24"/>
      <c r="PAH85" s="24"/>
      <c r="PAY85" s="24"/>
      <c r="PAZ85" s="24"/>
      <c r="PBQ85" s="24"/>
      <c r="PBR85" s="24"/>
      <c r="PCI85" s="24"/>
      <c r="PCJ85" s="24"/>
      <c r="PDA85" s="24"/>
      <c r="PDB85" s="24"/>
      <c r="PDS85" s="24"/>
      <c r="PDT85" s="24"/>
      <c r="PEK85" s="24"/>
      <c r="PEL85" s="24"/>
      <c r="PFC85" s="24"/>
      <c r="PFD85" s="24"/>
      <c r="PFU85" s="24"/>
      <c r="PFV85" s="24"/>
      <c r="PGM85" s="24"/>
      <c r="PGN85" s="24"/>
      <c r="PHE85" s="24"/>
      <c r="PHF85" s="24"/>
      <c r="PHW85" s="24"/>
      <c r="PHX85" s="24"/>
      <c r="PIO85" s="24"/>
      <c r="PIP85" s="24"/>
      <c r="PJG85" s="24"/>
      <c r="PJH85" s="24"/>
      <c r="PJY85" s="24"/>
      <c r="PJZ85" s="24"/>
      <c r="PKQ85" s="24"/>
      <c r="PKR85" s="24"/>
      <c r="PLI85" s="24"/>
      <c r="PLJ85" s="24"/>
      <c r="PMA85" s="24"/>
      <c r="PMB85" s="24"/>
      <c r="PMS85" s="24"/>
      <c r="PMT85" s="24"/>
      <c r="PNK85" s="24"/>
      <c r="PNL85" s="24"/>
      <c r="POC85" s="24"/>
      <c r="POD85" s="24"/>
      <c r="POU85" s="24"/>
      <c r="POV85" s="24"/>
      <c r="PPM85" s="24"/>
      <c r="PPN85" s="24"/>
      <c r="PQE85" s="24"/>
      <c r="PQF85" s="24"/>
      <c r="PQW85" s="24"/>
      <c r="PQX85" s="24"/>
      <c r="PRO85" s="24"/>
      <c r="PRP85" s="24"/>
      <c r="PSG85" s="24"/>
      <c r="PSH85" s="24"/>
      <c r="PSY85" s="24"/>
      <c r="PSZ85" s="24"/>
      <c r="PTQ85" s="24"/>
      <c r="PTR85" s="24"/>
      <c r="PUI85" s="24"/>
      <c r="PUJ85" s="24"/>
      <c r="PVA85" s="24"/>
      <c r="PVB85" s="24"/>
      <c r="PVS85" s="24"/>
      <c r="PVT85" s="24"/>
      <c r="PWK85" s="24"/>
      <c r="PWL85" s="24"/>
      <c r="PXC85" s="24"/>
      <c r="PXD85" s="24"/>
      <c r="PXU85" s="24"/>
      <c r="PXV85" s="24"/>
      <c r="PYM85" s="24"/>
      <c r="PYN85" s="24"/>
      <c r="PZE85" s="24"/>
      <c r="PZF85" s="24"/>
      <c r="PZW85" s="24"/>
      <c r="PZX85" s="24"/>
      <c r="QAO85" s="24"/>
      <c r="QAP85" s="24"/>
      <c r="QBG85" s="24"/>
      <c r="QBH85" s="24"/>
      <c r="QBY85" s="24"/>
      <c r="QBZ85" s="24"/>
      <c r="QCQ85" s="24"/>
      <c r="QCR85" s="24"/>
      <c r="QDI85" s="24"/>
      <c r="QDJ85" s="24"/>
      <c r="QEA85" s="24"/>
      <c r="QEB85" s="24"/>
      <c r="QES85" s="24"/>
      <c r="QET85" s="24"/>
      <c r="QFK85" s="24"/>
      <c r="QFL85" s="24"/>
      <c r="QGC85" s="24"/>
      <c r="QGD85" s="24"/>
      <c r="QGU85" s="24"/>
      <c r="QGV85" s="24"/>
      <c r="QHM85" s="24"/>
      <c r="QHN85" s="24"/>
      <c r="QIE85" s="24"/>
      <c r="QIF85" s="24"/>
      <c r="QIW85" s="24"/>
      <c r="QIX85" s="24"/>
      <c r="QJO85" s="24"/>
      <c r="QJP85" s="24"/>
      <c r="QKG85" s="24"/>
      <c r="QKH85" s="24"/>
      <c r="QKY85" s="24"/>
      <c r="QKZ85" s="24"/>
      <c r="QLQ85" s="24"/>
      <c r="QLR85" s="24"/>
      <c r="QMI85" s="24"/>
      <c r="QMJ85" s="24"/>
      <c r="QNA85" s="24"/>
      <c r="QNB85" s="24"/>
      <c r="QNS85" s="24"/>
      <c r="QNT85" s="24"/>
      <c r="QOK85" s="24"/>
      <c r="QOL85" s="24"/>
      <c r="QPC85" s="24"/>
      <c r="QPD85" s="24"/>
      <c r="QPU85" s="24"/>
      <c r="QPV85" s="24"/>
      <c r="QQM85" s="24"/>
      <c r="QQN85" s="24"/>
      <c r="QRE85" s="24"/>
      <c r="QRF85" s="24"/>
      <c r="QRW85" s="24"/>
      <c r="QRX85" s="24"/>
      <c r="QSO85" s="24"/>
      <c r="QSP85" s="24"/>
      <c r="QTG85" s="24"/>
      <c r="QTH85" s="24"/>
      <c r="QTY85" s="24"/>
      <c r="QTZ85" s="24"/>
      <c r="QUQ85" s="24"/>
      <c r="QUR85" s="24"/>
      <c r="QVI85" s="24"/>
      <c r="QVJ85" s="24"/>
      <c r="QWA85" s="24"/>
      <c r="QWB85" s="24"/>
      <c r="QWS85" s="24"/>
      <c r="QWT85" s="24"/>
      <c r="QXK85" s="24"/>
      <c r="QXL85" s="24"/>
      <c r="QYC85" s="24"/>
      <c r="QYD85" s="24"/>
      <c r="QYU85" s="24"/>
      <c r="QYV85" s="24"/>
      <c r="QZM85" s="24"/>
      <c r="QZN85" s="24"/>
      <c r="RAE85" s="24"/>
      <c r="RAF85" s="24"/>
      <c r="RAW85" s="24"/>
      <c r="RAX85" s="24"/>
      <c r="RBO85" s="24"/>
      <c r="RBP85" s="24"/>
      <c r="RCG85" s="24"/>
      <c r="RCH85" s="24"/>
      <c r="RCY85" s="24"/>
      <c r="RCZ85" s="24"/>
      <c r="RDQ85" s="24"/>
      <c r="RDR85" s="24"/>
      <c r="REI85" s="24"/>
      <c r="REJ85" s="24"/>
      <c r="RFA85" s="24"/>
      <c r="RFB85" s="24"/>
      <c r="RFS85" s="24"/>
      <c r="RFT85" s="24"/>
      <c r="RGK85" s="24"/>
      <c r="RGL85" s="24"/>
      <c r="RHC85" s="24"/>
      <c r="RHD85" s="24"/>
      <c r="RHU85" s="24"/>
      <c r="RHV85" s="24"/>
      <c r="RIM85" s="24"/>
      <c r="RIN85" s="24"/>
      <c r="RJE85" s="24"/>
      <c r="RJF85" s="24"/>
      <c r="RJW85" s="24"/>
      <c r="RJX85" s="24"/>
      <c r="RKO85" s="24"/>
      <c r="RKP85" s="24"/>
      <c r="RLG85" s="24"/>
      <c r="RLH85" s="24"/>
      <c r="RLY85" s="24"/>
      <c r="RLZ85" s="24"/>
      <c r="RMQ85" s="24"/>
      <c r="RMR85" s="24"/>
      <c r="RNI85" s="24"/>
      <c r="RNJ85" s="24"/>
      <c r="ROA85" s="24"/>
      <c r="ROB85" s="24"/>
      <c r="ROS85" s="24"/>
      <c r="ROT85" s="24"/>
      <c r="RPK85" s="24"/>
      <c r="RPL85" s="24"/>
      <c r="RQC85" s="24"/>
      <c r="RQD85" s="24"/>
      <c r="RQU85" s="24"/>
      <c r="RQV85" s="24"/>
      <c r="RRM85" s="24"/>
      <c r="RRN85" s="24"/>
      <c r="RSE85" s="24"/>
      <c r="RSF85" s="24"/>
      <c r="RSW85" s="24"/>
      <c r="RSX85" s="24"/>
      <c r="RTO85" s="24"/>
      <c r="RTP85" s="24"/>
      <c r="RUG85" s="24"/>
      <c r="RUH85" s="24"/>
      <c r="RUY85" s="24"/>
      <c r="RUZ85" s="24"/>
      <c r="RVQ85" s="24"/>
      <c r="RVR85" s="24"/>
      <c r="RWI85" s="24"/>
      <c r="RWJ85" s="24"/>
      <c r="RXA85" s="24"/>
      <c r="RXB85" s="24"/>
      <c r="RXS85" s="24"/>
      <c r="RXT85" s="24"/>
      <c r="RYK85" s="24"/>
      <c r="RYL85" s="24"/>
      <c r="RZC85" s="24"/>
      <c r="RZD85" s="24"/>
      <c r="RZU85" s="24"/>
      <c r="RZV85" s="24"/>
      <c r="SAM85" s="24"/>
      <c r="SAN85" s="24"/>
      <c r="SBE85" s="24"/>
      <c r="SBF85" s="24"/>
      <c r="SBW85" s="24"/>
      <c r="SBX85" s="24"/>
      <c r="SCO85" s="24"/>
      <c r="SCP85" s="24"/>
      <c r="SDG85" s="24"/>
      <c r="SDH85" s="24"/>
      <c r="SDY85" s="24"/>
      <c r="SDZ85" s="24"/>
      <c r="SEQ85" s="24"/>
      <c r="SER85" s="24"/>
      <c r="SFI85" s="24"/>
      <c r="SFJ85" s="24"/>
      <c r="SGA85" s="24"/>
      <c r="SGB85" s="24"/>
      <c r="SGS85" s="24"/>
      <c r="SGT85" s="24"/>
      <c r="SHK85" s="24"/>
      <c r="SHL85" s="24"/>
      <c r="SIC85" s="24"/>
      <c r="SID85" s="24"/>
      <c r="SIU85" s="24"/>
      <c r="SIV85" s="24"/>
      <c r="SJM85" s="24"/>
      <c r="SJN85" s="24"/>
      <c r="SKE85" s="24"/>
      <c r="SKF85" s="24"/>
      <c r="SKW85" s="24"/>
      <c r="SKX85" s="24"/>
      <c r="SLO85" s="24"/>
      <c r="SLP85" s="24"/>
      <c r="SMG85" s="24"/>
      <c r="SMH85" s="24"/>
      <c r="SMY85" s="24"/>
      <c r="SMZ85" s="24"/>
      <c r="SNQ85" s="24"/>
      <c r="SNR85" s="24"/>
      <c r="SOI85" s="24"/>
      <c r="SOJ85" s="24"/>
      <c r="SPA85" s="24"/>
      <c r="SPB85" s="24"/>
      <c r="SPS85" s="24"/>
      <c r="SPT85" s="24"/>
      <c r="SQK85" s="24"/>
      <c r="SQL85" s="24"/>
      <c r="SRC85" s="24"/>
      <c r="SRD85" s="24"/>
      <c r="SRU85" s="24"/>
      <c r="SRV85" s="24"/>
      <c r="SSM85" s="24"/>
      <c r="SSN85" s="24"/>
      <c r="STE85" s="24"/>
      <c r="STF85" s="24"/>
      <c r="STW85" s="24"/>
      <c r="STX85" s="24"/>
      <c r="SUO85" s="24"/>
      <c r="SUP85" s="24"/>
      <c r="SVG85" s="24"/>
      <c r="SVH85" s="24"/>
      <c r="SVY85" s="24"/>
      <c r="SVZ85" s="24"/>
      <c r="SWQ85" s="24"/>
      <c r="SWR85" s="24"/>
      <c r="SXI85" s="24"/>
      <c r="SXJ85" s="24"/>
      <c r="SYA85" s="24"/>
      <c r="SYB85" s="24"/>
      <c r="SYS85" s="24"/>
      <c r="SYT85" s="24"/>
      <c r="SZK85" s="24"/>
      <c r="SZL85" s="24"/>
      <c r="TAC85" s="24"/>
      <c r="TAD85" s="24"/>
      <c r="TAU85" s="24"/>
      <c r="TAV85" s="24"/>
      <c r="TBM85" s="24"/>
      <c r="TBN85" s="24"/>
      <c r="TCE85" s="24"/>
      <c r="TCF85" s="24"/>
      <c r="TCW85" s="24"/>
      <c r="TCX85" s="24"/>
      <c r="TDO85" s="24"/>
      <c r="TDP85" s="24"/>
      <c r="TEG85" s="24"/>
      <c r="TEH85" s="24"/>
      <c r="TEY85" s="24"/>
      <c r="TEZ85" s="24"/>
      <c r="TFQ85" s="24"/>
      <c r="TFR85" s="24"/>
      <c r="TGI85" s="24"/>
      <c r="TGJ85" s="24"/>
      <c r="THA85" s="24"/>
      <c r="THB85" s="24"/>
      <c r="THS85" s="24"/>
      <c r="THT85" s="24"/>
      <c r="TIK85" s="24"/>
      <c r="TIL85" s="24"/>
      <c r="TJC85" s="24"/>
      <c r="TJD85" s="24"/>
      <c r="TJU85" s="24"/>
      <c r="TJV85" s="24"/>
      <c r="TKM85" s="24"/>
      <c r="TKN85" s="24"/>
      <c r="TLE85" s="24"/>
      <c r="TLF85" s="24"/>
      <c r="TLW85" s="24"/>
      <c r="TLX85" s="24"/>
      <c r="TMO85" s="24"/>
      <c r="TMP85" s="24"/>
      <c r="TNG85" s="24"/>
      <c r="TNH85" s="24"/>
      <c r="TNY85" s="24"/>
      <c r="TNZ85" s="24"/>
      <c r="TOQ85" s="24"/>
      <c r="TOR85" s="24"/>
      <c r="TPI85" s="24"/>
      <c r="TPJ85" s="24"/>
      <c r="TQA85" s="24"/>
      <c r="TQB85" s="24"/>
      <c r="TQS85" s="24"/>
      <c r="TQT85" s="24"/>
      <c r="TRK85" s="24"/>
      <c r="TRL85" s="24"/>
      <c r="TSC85" s="24"/>
      <c r="TSD85" s="24"/>
      <c r="TSU85" s="24"/>
      <c r="TSV85" s="24"/>
      <c r="TTM85" s="24"/>
      <c r="TTN85" s="24"/>
      <c r="TUE85" s="24"/>
      <c r="TUF85" s="24"/>
      <c r="TUW85" s="24"/>
      <c r="TUX85" s="24"/>
      <c r="TVO85" s="24"/>
      <c r="TVP85" s="24"/>
      <c r="TWG85" s="24"/>
      <c r="TWH85" s="24"/>
      <c r="TWY85" s="24"/>
      <c r="TWZ85" s="24"/>
      <c r="TXQ85" s="24"/>
      <c r="TXR85" s="24"/>
      <c r="TYI85" s="24"/>
      <c r="TYJ85" s="24"/>
      <c r="TZA85" s="24"/>
      <c r="TZB85" s="24"/>
      <c r="TZS85" s="24"/>
      <c r="TZT85" s="24"/>
      <c r="UAK85" s="24"/>
      <c r="UAL85" s="24"/>
      <c r="UBC85" s="24"/>
      <c r="UBD85" s="24"/>
      <c r="UBU85" s="24"/>
      <c r="UBV85" s="24"/>
      <c r="UCM85" s="24"/>
      <c r="UCN85" s="24"/>
      <c r="UDE85" s="24"/>
      <c r="UDF85" s="24"/>
      <c r="UDW85" s="24"/>
      <c r="UDX85" s="24"/>
      <c r="UEO85" s="24"/>
      <c r="UEP85" s="24"/>
      <c r="UFG85" s="24"/>
      <c r="UFH85" s="24"/>
      <c r="UFY85" s="24"/>
      <c r="UFZ85" s="24"/>
      <c r="UGQ85" s="24"/>
      <c r="UGR85" s="24"/>
      <c r="UHI85" s="24"/>
      <c r="UHJ85" s="24"/>
      <c r="UIA85" s="24"/>
      <c r="UIB85" s="24"/>
      <c r="UIS85" s="24"/>
      <c r="UIT85" s="24"/>
      <c r="UJK85" s="24"/>
      <c r="UJL85" s="24"/>
      <c r="UKC85" s="24"/>
      <c r="UKD85" s="24"/>
      <c r="UKU85" s="24"/>
      <c r="UKV85" s="24"/>
      <c r="ULM85" s="24"/>
      <c r="ULN85" s="24"/>
      <c r="UME85" s="24"/>
      <c r="UMF85" s="24"/>
      <c r="UMW85" s="24"/>
      <c r="UMX85" s="24"/>
      <c r="UNO85" s="24"/>
      <c r="UNP85" s="24"/>
      <c r="UOG85" s="24"/>
      <c r="UOH85" s="24"/>
      <c r="UOY85" s="24"/>
      <c r="UOZ85" s="24"/>
      <c r="UPQ85" s="24"/>
      <c r="UPR85" s="24"/>
      <c r="UQI85" s="24"/>
      <c r="UQJ85" s="24"/>
      <c r="URA85" s="24"/>
      <c r="URB85" s="24"/>
      <c r="URS85" s="24"/>
      <c r="URT85" s="24"/>
      <c r="USK85" s="24"/>
      <c r="USL85" s="24"/>
      <c r="UTC85" s="24"/>
      <c r="UTD85" s="24"/>
      <c r="UTU85" s="24"/>
      <c r="UTV85" s="24"/>
      <c r="UUM85" s="24"/>
      <c r="UUN85" s="24"/>
      <c r="UVE85" s="24"/>
      <c r="UVF85" s="24"/>
      <c r="UVW85" s="24"/>
      <c r="UVX85" s="24"/>
      <c r="UWO85" s="24"/>
      <c r="UWP85" s="24"/>
      <c r="UXG85" s="24"/>
      <c r="UXH85" s="24"/>
      <c r="UXY85" s="24"/>
      <c r="UXZ85" s="24"/>
      <c r="UYQ85" s="24"/>
      <c r="UYR85" s="24"/>
      <c r="UZI85" s="24"/>
      <c r="UZJ85" s="24"/>
      <c r="VAA85" s="24"/>
      <c r="VAB85" s="24"/>
      <c r="VAS85" s="24"/>
      <c r="VAT85" s="24"/>
      <c r="VBK85" s="24"/>
      <c r="VBL85" s="24"/>
      <c r="VCC85" s="24"/>
      <c r="VCD85" s="24"/>
      <c r="VCU85" s="24"/>
      <c r="VCV85" s="24"/>
      <c r="VDM85" s="24"/>
      <c r="VDN85" s="24"/>
      <c r="VEE85" s="24"/>
      <c r="VEF85" s="24"/>
      <c r="VEW85" s="24"/>
      <c r="VEX85" s="24"/>
      <c r="VFO85" s="24"/>
      <c r="VFP85" s="24"/>
      <c r="VGG85" s="24"/>
      <c r="VGH85" s="24"/>
      <c r="VGY85" s="24"/>
      <c r="VGZ85" s="24"/>
      <c r="VHQ85" s="24"/>
      <c r="VHR85" s="24"/>
      <c r="VII85" s="24"/>
      <c r="VIJ85" s="24"/>
      <c r="VJA85" s="24"/>
      <c r="VJB85" s="24"/>
      <c r="VJS85" s="24"/>
      <c r="VJT85" s="24"/>
      <c r="VKK85" s="24"/>
      <c r="VKL85" s="24"/>
      <c r="VLC85" s="24"/>
      <c r="VLD85" s="24"/>
      <c r="VLU85" s="24"/>
      <c r="VLV85" s="24"/>
      <c r="VMM85" s="24"/>
      <c r="VMN85" s="24"/>
      <c r="VNE85" s="24"/>
      <c r="VNF85" s="24"/>
      <c r="VNW85" s="24"/>
      <c r="VNX85" s="24"/>
      <c r="VOO85" s="24"/>
      <c r="VOP85" s="24"/>
      <c r="VPG85" s="24"/>
      <c r="VPH85" s="24"/>
      <c r="VPY85" s="24"/>
      <c r="VPZ85" s="24"/>
      <c r="VQQ85" s="24"/>
      <c r="VQR85" s="24"/>
      <c r="VRI85" s="24"/>
      <c r="VRJ85" s="24"/>
      <c r="VSA85" s="24"/>
      <c r="VSB85" s="24"/>
      <c r="VSS85" s="24"/>
      <c r="VST85" s="24"/>
      <c r="VTK85" s="24"/>
      <c r="VTL85" s="24"/>
      <c r="VUC85" s="24"/>
      <c r="VUD85" s="24"/>
      <c r="VUU85" s="24"/>
      <c r="VUV85" s="24"/>
      <c r="VVM85" s="24"/>
      <c r="VVN85" s="24"/>
      <c r="VWE85" s="24"/>
      <c r="VWF85" s="24"/>
      <c r="VWW85" s="24"/>
      <c r="VWX85" s="24"/>
      <c r="VXO85" s="24"/>
      <c r="VXP85" s="24"/>
      <c r="VYG85" s="24"/>
      <c r="VYH85" s="24"/>
      <c r="VYY85" s="24"/>
      <c r="VYZ85" s="24"/>
      <c r="VZQ85" s="24"/>
      <c r="VZR85" s="24"/>
      <c r="WAI85" s="24"/>
      <c r="WAJ85" s="24"/>
      <c r="WBA85" s="24"/>
      <c r="WBB85" s="24"/>
      <c r="WBS85" s="24"/>
      <c r="WBT85" s="24"/>
      <c r="WCK85" s="24"/>
      <c r="WCL85" s="24"/>
      <c r="WDC85" s="24"/>
      <c r="WDD85" s="24"/>
      <c r="WDU85" s="24"/>
      <c r="WDV85" s="24"/>
      <c r="WEM85" s="24"/>
      <c r="WEN85" s="24"/>
      <c r="WFE85" s="24"/>
      <c r="WFF85" s="24"/>
      <c r="WFW85" s="24"/>
      <c r="WFX85" s="24"/>
      <c r="WGO85" s="24"/>
      <c r="WGP85" s="24"/>
      <c r="WHG85" s="24"/>
      <c r="WHH85" s="24"/>
      <c r="WHY85" s="24"/>
      <c r="WHZ85" s="24"/>
      <c r="WIQ85" s="24"/>
      <c r="WIR85" s="24"/>
      <c r="WJI85" s="24"/>
      <c r="WJJ85" s="24"/>
      <c r="WKA85" s="24"/>
      <c r="WKB85" s="24"/>
      <c r="WKS85" s="24"/>
      <c r="WKT85" s="24"/>
      <c r="WLK85" s="24"/>
      <c r="WLL85" s="24"/>
      <c r="WMC85" s="24"/>
      <c r="WMD85" s="24"/>
      <c r="WMU85" s="24"/>
      <c r="WMV85" s="24"/>
      <c r="WNM85" s="24"/>
      <c r="WNN85" s="24"/>
      <c r="WOE85" s="24"/>
      <c r="WOF85" s="24"/>
      <c r="WOW85" s="24"/>
      <c r="WOX85" s="24"/>
      <c r="WPO85" s="24"/>
      <c r="WPP85" s="24"/>
      <c r="WQG85" s="24"/>
      <c r="WQH85" s="24"/>
      <c r="WQY85" s="24"/>
      <c r="WQZ85" s="24"/>
      <c r="WRQ85" s="24"/>
      <c r="WRR85" s="24"/>
      <c r="WSI85" s="24"/>
      <c r="WSJ85" s="24"/>
      <c r="WTA85" s="24"/>
      <c r="WTB85" s="24"/>
      <c r="WTS85" s="24"/>
      <c r="WTT85" s="24"/>
      <c r="WUK85" s="24"/>
      <c r="WUL85" s="24"/>
      <c r="WVC85" s="24"/>
      <c r="WVD85" s="24"/>
      <c r="WVU85" s="24"/>
      <c r="WVV85" s="24"/>
      <c r="WWM85" s="24"/>
      <c r="WWN85" s="24"/>
      <c r="WXE85" s="24"/>
      <c r="WXF85" s="24"/>
      <c r="WXW85" s="24"/>
      <c r="WXX85" s="24"/>
      <c r="WYO85" s="24"/>
      <c r="WYP85" s="24"/>
      <c r="WZG85" s="24"/>
      <c r="WZH85" s="24"/>
      <c r="WZY85" s="24"/>
      <c r="WZZ85" s="24"/>
      <c r="XAQ85" s="24"/>
      <c r="XAR85" s="24"/>
      <c r="XBI85" s="24"/>
      <c r="XBJ85" s="24"/>
      <c r="XCA85" s="24"/>
      <c r="XCB85" s="24"/>
      <c r="XCS85" s="24"/>
      <c r="XCT85" s="24"/>
      <c r="XDK85" s="24"/>
      <c r="XDL85" s="24"/>
      <c r="XEC85" s="24"/>
      <c r="XED85" s="24"/>
      <c r="XEU85" s="24"/>
      <c r="XEV85" s="24"/>
    </row>
    <row r="86" spans="1:1022 1039:2048 2065:3056 3073:4082 4099:5108 5125:6134 6151:7160 7177:8186 8203:9212 9229:10238 10255:11264 11281:12272 12289:13298 13315:14324 14341:15350 15367:16376">
      <c r="A86" s="23"/>
      <c r="B86" s="23"/>
      <c r="C86" s="23"/>
      <c r="E86" s="23"/>
      <c r="I86" s="23"/>
      <c r="J86" s="23"/>
      <c r="K86" s="23"/>
      <c r="M86" s="23"/>
      <c r="N86" s="48"/>
    </row>
    <row r="87" spans="1:1022 1039:2048 2065:3056 3073:4082 4099:5108 5125:6134 6151:7160 7177:8186 8203:9212 9229:10238 10255:11264 11281:12272 12289:13298 13315:14324 14341:15350 15367:16376" ht="36">
      <c r="A87" s="33" t="s">
        <v>23</v>
      </c>
      <c r="B87" s="33" t="s">
        <v>35</v>
      </c>
      <c r="C87" s="34" t="s">
        <v>25</v>
      </c>
      <c r="D87" s="12" t="s">
        <v>26</v>
      </c>
      <c r="E87" s="12" t="s">
        <v>10</v>
      </c>
      <c r="F87" s="12" t="s">
        <v>27</v>
      </c>
      <c r="G87" s="12" t="s">
        <v>28</v>
      </c>
      <c r="H87" s="12" t="s">
        <v>29</v>
      </c>
      <c r="I87" s="12" t="s">
        <v>30</v>
      </c>
      <c r="J87" s="12" t="s">
        <v>31</v>
      </c>
      <c r="K87" s="12" t="s">
        <v>32</v>
      </c>
      <c r="L87" s="12" t="s">
        <v>33</v>
      </c>
      <c r="M87" s="12" t="s">
        <v>32</v>
      </c>
      <c r="N87" s="35"/>
    </row>
    <row r="88" spans="1:1022 1039:2048 2065:3056 3073:4082 4099:5108 5125:6134 6151:7160 7177:8186 8203:9212 9229:10238 10255:11264 11281:12272 12289:13298 13315:14324 14341:15350 15367:16376" ht="15" customHeight="1">
      <c r="A88" s="167" t="s">
        <v>76</v>
      </c>
      <c r="B88" s="143">
        <v>2419.1583633333335</v>
      </c>
      <c r="C88" s="140">
        <v>3</v>
      </c>
      <c r="D88" s="153">
        <v>83.030699999999996</v>
      </c>
      <c r="E88" s="154">
        <v>873.78632000000005</v>
      </c>
      <c r="F88" s="152">
        <v>11.8218</v>
      </c>
      <c r="G88" s="152">
        <v>0</v>
      </c>
      <c r="H88" s="152">
        <v>1.6620999999999999</v>
      </c>
      <c r="I88" s="152">
        <v>0.55569999999999997</v>
      </c>
      <c r="J88" s="38">
        <f t="shared" ref="J88:J94" si="20">$A$6*E88/$B$88</f>
        <v>0.25753156783897413</v>
      </c>
      <c r="K88" s="82">
        <f>IF(OR(M88=O88,O88=0),O88, ROUND(O88/50,0)*50)</f>
        <v>0</v>
      </c>
      <c r="L88" s="40">
        <f>J88*K88/0.93/1000</f>
        <v>0</v>
      </c>
      <c r="M88" s="160">
        <v>1992.2</v>
      </c>
      <c r="N88" s="41"/>
      <c r="O88" s="79">
        <f>'Organized Data'!L37</f>
        <v>0</v>
      </c>
    </row>
    <row r="89" spans="1:1022 1039:2048 2065:3056 3073:4082 4099:5108 5125:6134 6151:7160 7177:8186 8203:9212 9229:10238 10255:11264 11281:12272 12289:13298 13315:14324 14341:15350 15367:16376" ht="15">
      <c r="A89" s="168"/>
      <c r="B89" s="146"/>
      <c r="C89" s="140">
        <v>4</v>
      </c>
      <c r="D89" s="153">
        <v>94.890100000000004</v>
      </c>
      <c r="E89" s="154">
        <v>2942.7507300000002</v>
      </c>
      <c r="F89" s="152">
        <v>3.8910999999999998</v>
      </c>
      <c r="G89" s="152">
        <v>0</v>
      </c>
      <c r="H89" s="152">
        <v>0.46729999999999999</v>
      </c>
      <c r="I89" s="152">
        <v>0.70479999999999998</v>
      </c>
      <c r="J89" s="38">
        <f t="shared" si="20"/>
        <v>0.86731869326609001</v>
      </c>
      <c r="K89" s="82">
        <f t="shared" ref="K89:K94" si="21">IF(OR(M89=O89,O89=0),O89, ROUND(O89/50,0)*50)</f>
        <v>1994.6</v>
      </c>
      <c r="L89" s="40">
        <f t="shared" ref="L89:L94" si="22">J89*K89/0.93/1000</f>
        <v>1.8601654468694009</v>
      </c>
      <c r="M89" s="160">
        <v>1994.6</v>
      </c>
      <c r="N89" s="41"/>
      <c r="O89" s="79">
        <f>'Organized Data'!L38</f>
        <v>1994.6</v>
      </c>
    </row>
    <row r="90" spans="1:1022 1039:2048 2065:3056 3073:4082 4099:5108 5125:6134 6151:7160 7177:8186 8203:9212 9229:10238 10255:11264 11281:12272 12289:13298 13315:14324 14341:15350 15367:16376" ht="15">
      <c r="A90" s="168"/>
      <c r="B90" s="144"/>
      <c r="C90" s="140">
        <v>5</v>
      </c>
      <c r="D90" s="153">
        <v>95.769000000000005</v>
      </c>
      <c r="E90" s="154">
        <v>2838.0815400000001</v>
      </c>
      <c r="F90" s="152">
        <v>1.6328</v>
      </c>
      <c r="G90" s="152">
        <v>0</v>
      </c>
      <c r="H90" s="152">
        <v>0.43519999999999998</v>
      </c>
      <c r="I90" s="152">
        <v>1.9267000000000001</v>
      </c>
      <c r="J90" s="38">
        <f t="shared" si="20"/>
        <v>0.83646947991935849</v>
      </c>
      <c r="K90" s="82">
        <f t="shared" si="21"/>
        <v>0</v>
      </c>
      <c r="L90" s="40">
        <f t="shared" si="22"/>
        <v>0</v>
      </c>
      <c r="M90" s="160">
        <v>1995</v>
      </c>
      <c r="N90" s="41"/>
      <c r="O90" s="79">
        <f>'Organized Data'!L39</f>
        <v>0</v>
      </c>
    </row>
    <row r="91" spans="1:1022 1039:2048 2065:3056 3073:4082 4099:5108 5125:6134 6151:7160 7177:8186 8203:9212 9229:10238 10255:11264 11281:12272 12289:13298 13315:14324 14341:15350 15367:16376" ht="15">
      <c r="A91" s="168"/>
      <c r="B91" s="144"/>
      <c r="C91" s="140">
        <v>6</v>
      </c>
      <c r="D91" s="153">
        <v>96.366799999999998</v>
      </c>
      <c r="E91" s="154">
        <v>1157.86609</v>
      </c>
      <c r="F91" s="152">
        <v>2.6432000000000002</v>
      </c>
      <c r="G91" s="152">
        <v>0</v>
      </c>
      <c r="H91" s="152">
        <v>0</v>
      </c>
      <c r="I91" s="152">
        <v>0.99</v>
      </c>
      <c r="J91" s="38">
        <f t="shared" si="20"/>
        <v>0.34125856937801763</v>
      </c>
      <c r="K91" s="82">
        <f t="shared" si="21"/>
        <v>0</v>
      </c>
      <c r="L91" s="40">
        <f t="shared" si="22"/>
        <v>0</v>
      </c>
      <c r="M91" s="160">
        <v>1975.9</v>
      </c>
      <c r="N91" s="41"/>
      <c r="O91" s="79">
        <f>'Organized Data'!L40</f>
        <v>0</v>
      </c>
    </row>
    <row r="92" spans="1:1022 1039:2048 2065:3056 3073:4082 4099:5108 5125:6134 6151:7160 7177:8186 8203:9212 9229:10238 10255:11264 11281:12272 12289:13298 13315:14324 14341:15350 15367:16376" ht="15">
      <c r="A92" s="168"/>
      <c r="B92" s="144"/>
      <c r="C92" s="140">
        <v>7</v>
      </c>
      <c r="D92" s="153">
        <v>94.217399999999998</v>
      </c>
      <c r="E92" s="154">
        <v>2386.2575700000002</v>
      </c>
      <c r="F92" s="152">
        <v>0.74039999999999995</v>
      </c>
      <c r="G92" s="152">
        <v>0.73180000000000001</v>
      </c>
      <c r="H92" s="152">
        <v>0.9788</v>
      </c>
      <c r="I92" s="152">
        <v>2.5855999999999999</v>
      </c>
      <c r="J92" s="38">
        <f t="shared" si="20"/>
        <v>0.70330312938490569</v>
      </c>
      <c r="K92" s="82">
        <f t="shared" si="21"/>
        <v>2006.1</v>
      </c>
      <c r="L92" s="40">
        <f t="shared" si="22"/>
        <v>1.5170929116764078</v>
      </c>
      <c r="M92" s="160">
        <v>2006.1</v>
      </c>
      <c r="N92" s="41"/>
      <c r="O92" s="79">
        <f>'Organized Data'!L41</f>
        <v>2006.1</v>
      </c>
    </row>
    <row r="93" spans="1:1022 1039:2048 2065:3056 3073:4082 4099:5108 5125:6134 6151:7160 7177:8186 8203:9212 9229:10238 10255:11264 11281:12272 12289:13298 13315:14324 14341:15350 15367:16376" ht="15">
      <c r="A93" s="168"/>
      <c r="B93" s="144"/>
      <c r="C93" s="140">
        <v>8</v>
      </c>
      <c r="D93" s="153">
        <v>85.248599999999996</v>
      </c>
      <c r="E93" s="154">
        <v>1303.60193</v>
      </c>
      <c r="F93" s="152">
        <v>0</v>
      </c>
      <c r="G93" s="152">
        <v>1.8214999999999999</v>
      </c>
      <c r="H93" s="152">
        <v>2.871</v>
      </c>
      <c r="I93" s="152">
        <v>5.7309000000000001</v>
      </c>
      <c r="J93" s="38">
        <f t="shared" si="20"/>
        <v>0.38421138118849535</v>
      </c>
      <c r="K93" s="82">
        <f t="shared" si="21"/>
        <v>0</v>
      </c>
      <c r="L93" s="40">
        <f>J93*K93/0.93/1000</f>
        <v>0</v>
      </c>
      <c r="M93" s="160">
        <v>1912.6</v>
      </c>
      <c r="N93" s="41"/>
      <c r="O93" s="79">
        <f>'Organized Data'!L42</f>
        <v>0</v>
      </c>
    </row>
    <row r="94" spans="1:1022 1039:2048 2065:3056 3073:4082 4099:5108 5125:6134 6151:7160 7177:8186 8203:9212 9229:10238 10255:11264 11281:12272 12289:13298 13315:14324 14341:15350 15367:16376" ht="15">
      <c r="A94" s="168"/>
      <c r="B94" s="145"/>
      <c r="C94" s="140">
        <v>9</v>
      </c>
      <c r="D94" s="153">
        <v>79.758899999999997</v>
      </c>
      <c r="E94" s="154">
        <v>141.50721999999999</v>
      </c>
      <c r="F94" s="152">
        <v>0</v>
      </c>
      <c r="G94" s="152">
        <v>0</v>
      </c>
      <c r="H94" s="152">
        <v>1.8708</v>
      </c>
      <c r="I94" s="152">
        <v>6.6817000000000002</v>
      </c>
      <c r="J94" s="38">
        <f t="shared" si="20"/>
        <v>4.170650809357445E-2</v>
      </c>
      <c r="K94" s="82">
        <f t="shared" si="21"/>
        <v>1507.8</v>
      </c>
      <c r="L94" s="40">
        <f t="shared" si="22"/>
        <v>6.7618357960743614E-2</v>
      </c>
      <c r="M94" s="160">
        <v>1507.8</v>
      </c>
      <c r="N94" s="41"/>
      <c r="O94" s="79">
        <f>'Organized Data'!L43</f>
        <v>1507.8</v>
      </c>
    </row>
    <row r="95" spans="1:1022 1039:2048 2065:3056 3073:4082 4099:5108 5125:6134 6151:7160 7177:8186 8203:9212 9229:10238 10255:11264 11281:12272 12289:13298 13315:14324 14341:15350 15367:16376" ht="12" customHeight="1">
      <c r="A95" s="169"/>
      <c r="B95" s="141" t="s">
        <v>34</v>
      </c>
      <c r="C95" s="142"/>
      <c r="D95" s="142"/>
      <c r="E95" s="142"/>
      <c r="F95" s="142"/>
      <c r="G95" s="142"/>
      <c r="H95" s="142"/>
      <c r="I95" s="142"/>
      <c r="J95" s="45"/>
      <c r="K95" s="46"/>
      <c r="L95" s="166">
        <f>SUM(L88:L94)</f>
        <v>3.4448767165065521</v>
      </c>
      <c r="M95" s="46"/>
      <c r="N95" s="47"/>
      <c r="O95" s="81"/>
      <c r="P95" s="50"/>
      <c r="Q95" s="50"/>
      <c r="R95" s="50"/>
      <c r="S95" s="50"/>
      <c r="T95" s="50"/>
    </row>
    <row r="96" spans="1:1022 1039:2048 2065:3056 3073:4082 4099:5108 5125:6134 6151:7160 7177:8186 8203:9212 9229:10238 10255:11264 11281:12272 12289:13298 13315:14324 14341:15350 15367:16376">
      <c r="A96" s="23"/>
      <c r="B96" s="23"/>
      <c r="C96" s="49"/>
      <c r="D96" s="23"/>
      <c r="F96" s="23"/>
      <c r="G96" s="23"/>
      <c r="H96" s="23"/>
      <c r="I96" s="23"/>
      <c r="J96" s="23"/>
      <c r="O96" s="81"/>
      <c r="P96" s="50"/>
      <c r="Q96" s="50"/>
      <c r="R96" s="50"/>
      <c r="S96" s="50"/>
      <c r="T96" s="50"/>
    </row>
    <row r="97" spans="1:20">
      <c r="A97" s="23"/>
      <c r="B97" s="23"/>
      <c r="C97" s="49"/>
      <c r="D97" s="23"/>
      <c r="F97" s="23"/>
      <c r="G97" s="23"/>
      <c r="H97" s="23"/>
      <c r="I97" s="23"/>
      <c r="J97" s="23"/>
      <c r="O97" s="81"/>
      <c r="P97" s="50"/>
      <c r="Q97" s="50"/>
      <c r="R97" s="50"/>
      <c r="S97" s="50"/>
      <c r="T97" s="50"/>
    </row>
    <row r="98" spans="1:20" ht="12.75">
      <c r="A98" s="51" t="s">
        <v>36</v>
      </c>
    </row>
    <row r="99" spans="1:20" ht="15" customHeight="1">
      <c r="A99" s="170" t="s">
        <v>23</v>
      </c>
      <c r="B99" s="170" t="s">
        <v>37</v>
      </c>
      <c r="C99" s="171" t="s">
        <v>38</v>
      </c>
      <c r="D99" s="172"/>
      <c r="E99" s="172"/>
      <c r="F99" s="172"/>
      <c r="G99" s="172"/>
      <c r="H99" s="172"/>
      <c r="I99" s="172"/>
      <c r="J99" s="172"/>
      <c r="K99" s="173"/>
      <c r="L99" s="5"/>
      <c r="N99" s="2"/>
    </row>
    <row r="100" spans="1:20" ht="48">
      <c r="A100" s="170"/>
      <c r="B100" s="170"/>
      <c r="C100" s="12" t="s">
        <v>39</v>
      </c>
      <c r="D100" s="12" t="s">
        <v>40</v>
      </c>
      <c r="E100" s="12" t="s">
        <v>41</v>
      </c>
      <c r="F100" s="12" t="s">
        <v>42</v>
      </c>
      <c r="G100" s="12" t="s">
        <v>43</v>
      </c>
      <c r="H100" s="12" t="s">
        <v>44</v>
      </c>
      <c r="I100" s="12" t="s">
        <v>45</v>
      </c>
      <c r="J100" s="12" t="s">
        <v>46</v>
      </c>
      <c r="K100" s="12" t="s">
        <v>47</v>
      </c>
      <c r="L100" s="35"/>
      <c r="N100" s="2"/>
    </row>
    <row r="101" spans="1:20" ht="24">
      <c r="A101" s="39" t="str">
        <f>A33</f>
        <v>042513-1</v>
      </c>
      <c r="B101" s="52">
        <f>L40/D23</f>
        <v>1.0067846264877103</v>
      </c>
      <c r="C101" s="53">
        <f>SUM(K33:K39)</f>
        <v>9353.7000000000007</v>
      </c>
      <c r="D101" s="54">
        <f>SUMPRODUCT(D33:D39,K33:K39)/C101</f>
        <v>93.458314262805089</v>
      </c>
      <c r="E101" s="55">
        <f>SUM(L33:L39)</f>
        <v>6.151454067839909</v>
      </c>
      <c r="F101" s="56">
        <f>E101/$D$23</f>
        <v>1.0067846264877103</v>
      </c>
      <c r="G101" s="57" t="s">
        <v>48</v>
      </c>
      <c r="H101" s="58">
        <f>SUMPRODUCT($K33:$K39,F33:F39)/$C$101</f>
        <v>1.9128723756374477</v>
      </c>
      <c r="I101" s="58">
        <f>SUMPRODUCT($K33:$K39,G33:G39)/$C$101</f>
        <v>0.50500130536579113</v>
      </c>
      <c r="J101" s="58">
        <f>SUMPRODUCT($K33:$K39,H33:H39)/$C$101</f>
        <v>0.94055004116018248</v>
      </c>
      <c r="K101" s="58">
        <f>SUMPRODUCT($K33:$K39,I33:I39)/$C$101</f>
        <v>2.1488714016913093</v>
      </c>
      <c r="L101" s="59"/>
      <c r="N101" s="2"/>
    </row>
    <row r="102" spans="1:20" ht="24">
      <c r="A102" s="39" t="str">
        <f>A44</f>
        <v>042513-2</v>
      </c>
      <c r="B102" s="52">
        <f>L51/D23</f>
        <v>0.44225194188122186</v>
      </c>
      <c r="C102" s="53">
        <f>SUM(K44:K50)</f>
        <v>4758.1000000000004</v>
      </c>
      <c r="D102" s="54">
        <f>SUMPRODUCT(D44:D50,K44:K50)/C102</f>
        <v>88.310197860490533</v>
      </c>
      <c r="E102" s="55">
        <f>SUM(L44:L50)</f>
        <v>2.7021593648942654</v>
      </c>
      <c r="F102" s="56">
        <f>E102/$D$23</f>
        <v>0.44225194188122186</v>
      </c>
      <c r="G102" s="57" t="s">
        <v>49</v>
      </c>
      <c r="H102" s="58">
        <f>SUMPRODUCT($K44:$K50,F44:F50)/$C$102</f>
        <v>4.2957066223912905</v>
      </c>
      <c r="I102" s="58">
        <f>SUMPRODUCT($K44:$K50,G44:G50)/$C$102</f>
        <v>0.75201237258569598</v>
      </c>
      <c r="J102" s="58">
        <f>SUMPRODUCT($K44:$K50,H44:H50)/$C$102</f>
        <v>1.6550764738025681</v>
      </c>
      <c r="K102" s="58">
        <f>SUMPRODUCT($K44:$K50,I44:I50)/$C$102</f>
        <v>2.5282287972089703</v>
      </c>
      <c r="L102" s="59"/>
      <c r="N102" s="2"/>
    </row>
    <row r="103" spans="1:20" ht="24">
      <c r="A103" s="39" t="str">
        <f>A55</f>
        <v>042513-3</v>
      </c>
      <c r="B103" s="52">
        <f>L62/D23</f>
        <v>0.67552600223845227</v>
      </c>
      <c r="C103" s="53">
        <f>SUM(K55:K61)</f>
        <v>5709.8</v>
      </c>
      <c r="D103" s="54">
        <f>SUMPRODUCT(D55:D61,K55:K61)/C103</f>
        <v>93.325901905495797</v>
      </c>
      <c r="E103" s="55">
        <f>SUM(L55:L61)</f>
        <v>4.1274638736769429</v>
      </c>
      <c r="F103" s="56">
        <f>E103/$D$23</f>
        <v>0.67552600223845227</v>
      </c>
      <c r="G103" s="57" t="s">
        <v>50</v>
      </c>
      <c r="H103" s="58">
        <f>SUMPRODUCT($K55:$K61,F55:F61)/$C$103</f>
        <v>2.1493929104346909</v>
      </c>
      <c r="I103" s="58">
        <f>SUMPRODUCT($K55:$K61,G55:G61)/$C$103</f>
        <v>0.4278302567515499</v>
      </c>
      <c r="J103" s="58">
        <f>SUMPRODUCT($K55:$K61,H55:H61)/$C$103</f>
        <v>0.89089861641388479</v>
      </c>
      <c r="K103" s="58">
        <f>SUMPRODUCT($K55:$K61,I55:I61)/$C$103</f>
        <v>2.0550045710883045</v>
      </c>
      <c r="L103" s="59"/>
      <c r="N103" s="2"/>
    </row>
    <row r="104" spans="1:20" ht="24">
      <c r="A104" s="39" t="str">
        <f>A66</f>
        <v>042513-4</v>
      </c>
      <c r="B104" s="52">
        <f>L73/D23</f>
        <v>1.0177716203703906</v>
      </c>
      <c r="C104" s="53">
        <f>SUM(K66:K72)</f>
        <v>7628.7</v>
      </c>
      <c r="D104" s="54">
        <f>SUMPRODUCT(D66:D72,K66:K72)/C104</f>
        <v>94.082130958092478</v>
      </c>
      <c r="E104" s="55">
        <f>SUM(L66:L72)</f>
        <v>6.2185846004630863</v>
      </c>
      <c r="F104" s="56">
        <f t="shared" ref="F104:F106" si="23">E104/$D$23</f>
        <v>1.0177716203703906</v>
      </c>
      <c r="G104" s="57" t="s">
        <v>51</v>
      </c>
      <c r="H104" s="58">
        <f>SUMPRODUCT($K$66:$K$72,F66:F72)/$C$104</f>
        <v>1.9753408890112341</v>
      </c>
      <c r="I104" s="58">
        <f>SUMPRODUCT($K$66:$K$72,G66:G72)/$C$104</f>
        <v>0.40080351173856621</v>
      </c>
      <c r="J104" s="58">
        <f>SUMPRODUCT($K$66:$K$72,H66:H72)/$C$104</f>
        <v>0.73121416624064384</v>
      </c>
      <c r="K104" s="58">
        <f>SUMPRODUCT($K$66:$K$72,I66:I72)/$C$104</f>
        <v>1.928065750389975</v>
      </c>
      <c r="L104" s="59"/>
      <c r="N104" s="2"/>
    </row>
    <row r="105" spans="1:20" ht="24">
      <c r="A105" s="39" t="str">
        <f>A77</f>
        <v>042513-5</v>
      </c>
      <c r="B105" s="52">
        <f>L84/D23</f>
        <v>0.69330847330470735</v>
      </c>
      <c r="C105" s="53">
        <f>SUM(K77:K83)</f>
        <v>5774.5</v>
      </c>
      <c r="D105" s="54">
        <f>SUMPRODUCT(D77:D83,K77:K83)/C105</f>
        <v>93.42478627586803</v>
      </c>
      <c r="E105" s="55">
        <f>SUM(L77:L83)</f>
        <v>4.2361147718917618</v>
      </c>
      <c r="F105" s="56">
        <f t="shared" si="23"/>
        <v>0.69330847330470735</v>
      </c>
      <c r="G105" s="57" t="s">
        <v>52</v>
      </c>
      <c r="H105" s="58">
        <f>SUMPRODUCT($K$77:$K$83,F77:F83)/$C$105</f>
        <v>2.0768188102866048</v>
      </c>
      <c r="I105" s="58">
        <f>SUMPRODUCT($K$77:$K$83,G77:G83)/$C$105</f>
        <v>0.40200522123127547</v>
      </c>
      <c r="J105" s="58">
        <f>SUMPRODUCT($K$77:$K$83,H77:H83)/$C$105</f>
        <v>0.877091065893151</v>
      </c>
      <c r="K105" s="58">
        <f>SUMPRODUCT($K$77:$K$83,I77:I83)/$C$105</f>
        <v>2.0647404086933934</v>
      </c>
      <c r="L105" s="59"/>
      <c r="N105" s="2"/>
    </row>
    <row r="106" spans="1:20" ht="24">
      <c r="A106" s="39" t="str">
        <f>A88</f>
        <v>042513-6</v>
      </c>
      <c r="B106" s="52">
        <f>L95/D23</f>
        <v>0.56380960990287277</v>
      </c>
      <c r="C106" s="53">
        <f>SUM(K88:K94)</f>
        <v>5508.5</v>
      </c>
      <c r="D106" s="54">
        <f>SUMPRODUCT(D88:D94,K88:K94)/C106</f>
        <v>90.503365529636</v>
      </c>
      <c r="E106" s="55">
        <f>SUM(L88:L94)</f>
        <v>3.4448767165065521</v>
      </c>
      <c r="F106" s="56">
        <f t="shared" si="23"/>
        <v>0.56380960990287277</v>
      </c>
      <c r="G106" s="57" t="s">
        <v>53</v>
      </c>
      <c r="H106" s="58">
        <f>SUMPRODUCT($K$88:$K$94,F88:F94)/$C$106</f>
        <v>1.6785884542071343</v>
      </c>
      <c r="I106" s="58">
        <f>SUMPRODUCT($K$88:$K$94,G88:G94)/$C$106</f>
        <v>0.26650884632840155</v>
      </c>
      <c r="J106" s="58">
        <f>SUMPRODUCT($K$88:$K$94,H88:H94)/$C$106</f>
        <v>1.0377488426976489</v>
      </c>
      <c r="K106" s="58">
        <f>SUMPRODUCT($K$88:$K$94,I88:I94)/$C$106</f>
        <v>3.0257662703095214</v>
      </c>
      <c r="L106" s="59"/>
      <c r="N106" s="2"/>
    </row>
    <row r="107" spans="1:20">
      <c r="A107" s="34"/>
      <c r="B107" s="60"/>
      <c r="C107" s="61">
        <f>SUM(C101:C106)</f>
        <v>38733.300000000003</v>
      </c>
      <c r="D107" s="62"/>
      <c r="E107" s="101">
        <f>SUM(E101:E106)</f>
        <v>26.880653395272521</v>
      </c>
      <c r="F107" s="63"/>
      <c r="G107" s="12" t="s">
        <v>11</v>
      </c>
      <c r="H107" s="64">
        <f>ROUND(SUMPRODUCT($C$101:$C$106,H101:H106)/$C$107,1)</f>
        <v>2.2000000000000002</v>
      </c>
      <c r="I107" s="64">
        <f t="shared" ref="I107:K107" si="24">ROUND(SUMPRODUCT($C$101:$C$106,I101:I106)/$C$107,1)</f>
        <v>0.5</v>
      </c>
      <c r="J107" s="64">
        <f t="shared" si="24"/>
        <v>1</v>
      </c>
      <c r="K107" s="64">
        <f t="shared" si="24"/>
        <v>2.2999999999999998</v>
      </c>
      <c r="L107" s="65"/>
      <c r="N107" s="2"/>
    </row>
    <row r="108" spans="1:20">
      <c r="A108" s="34"/>
      <c r="B108" s="66">
        <f>AVERAGE(B101:B106)</f>
        <v>0.73324204569755924</v>
      </c>
      <c r="C108" s="67"/>
      <c r="D108" s="68">
        <f>ROUND(SUMPRODUCT(D101:D106,C101:C106)/C107,1)</f>
        <v>92.5</v>
      </c>
      <c r="E108" s="62"/>
      <c r="F108" s="99">
        <f>E107/C23</f>
        <v>0.73324204569755924</v>
      </c>
      <c r="L108" s="5"/>
      <c r="N108" s="2"/>
    </row>
    <row r="111" spans="1:20">
      <c r="A111" s="98" t="s">
        <v>78</v>
      </c>
    </row>
    <row r="112" spans="1:20">
      <c r="A112" s="70"/>
      <c r="B112" s="69" t="s">
        <v>60</v>
      </c>
      <c r="C112" s="69" t="s">
        <v>54</v>
      </c>
      <c r="D112" s="69" t="s">
        <v>55</v>
      </c>
      <c r="E112" s="69" t="s">
        <v>56</v>
      </c>
      <c r="F112" s="100" t="s">
        <v>57</v>
      </c>
      <c r="G112" s="100" t="s">
        <v>81</v>
      </c>
    </row>
    <row r="113" spans="1:7">
      <c r="A113" s="70" t="s">
        <v>58</v>
      </c>
      <c r="B113" s="161">
        <v>91</v>
      </c>
      <c r="C113" s="161">
        <v>0</v>
      </c>
      <c r="D113" s="161">
        <v>0</v>
      </c>
      <c r="E113" s="161">
        <v>0</v>
      </c>
      <c r="F113" s="162">
        <v>0</v>
      </c>
      <c r="G113" s="163">
        <v>27</v>
      </c>
    </row>
    <row r="114" spans="1:7">
      <c r="A114" s="70" t="s">
        <v>59</v>
      </c>
      <c r="B114" s="161">
        <v>92.5</v>
      </c>
      <c r="C114" s="161">
        <v>2.2490000000000001</v>
      </c>
      <c r="D114" s="161">
        <v>2.2490000000000001</v>
      </c>
      <c r="E114" s="161">
        <v>3.5</v>
      </c>
      <c r="F114" s="161">
        <v>2.2490000000000001</v>
      </c>
      <c r="G114" s="161"/>
    </row>
  </sheetData>
  <sheetProtection password="CC58" sheet="1" objects="1" scenarios="1"/>
  <protectedRanges>
    <protectedRange sqref="A33:I40 M33:M40 A44:I51 M44:M51 A55:I62 M55:M62 A66:I73 M66:M73 A77:I84 M77:M84 A88:I95 M88:M95" name="Range3"/>
    <protectedRange sqref="C23 B113:G114" name="Range2"/>
    <protectedRange sqref="B4:P4 B6:P8 A6 A15 B13:P13 B15:B18 E15:E18 H15:H18 K15:K18 N15:N18" name="Range1"/>
  </protectedRanges>
  <mergeCells count="31">
    <mergeCell ref="A1:M1"/>
    <mergeCell ref="A4:A5"/>
    <mergeCell ref="B4:D4"/>
    <mergeCell ref="E4:G4"/>
    <mergeCell ref="H4:J4"/>
    <mergeCell ref="K4:M4"/>
    <mergeCell ref="N13:P13"/>
    <mergeCell ref="N4:P4"/>
    <mergeCell ref="N9:O9"/>
    <mergeCell ref="A6:A9"/>
    <mergeCell ref="B9:C9"/>
    <mergeCell ref="E9:F9"/>
    <mergeCell ref="H9:I9"/>
    <mergeCell ref="K9:L9"/>
    <mergeCell ref="A13:A14"/>
    <mergeCell ref="B13:D13"/>
    <mergeCell ref="E13:G13"/>
    <mergeCell ref="H13:J13"/>
    <mergeCell ref="K13:M13"/>
    <mergeCell ref="A88:A95"/>
    <mergeCell ref="B99:B100"/>
    <mergeCell ref="C99:K99"/>
    <mergeCell ref="A99:A100"/>
    <mergeCell ref="A15:A18"/>
    <mergeCell ref="A22:B22"/>
    <mergeCell ref="A23:B23"/>
    <mergeCell ref="A33:A40"/>
    <mergeCell ref="A44:A51"/>
    <mergeCell ref="A55:A62"/>
    <mergeCell ref="A66:A73"/>
    <mergeCell ref="A77:A84"/>
  </mergeCells>
  <conditionalFormatting sqref="K33:K39">
    <cfRule type="cellIs" dxfId="83" priority="84" operator="lessThan">
      <formula>$M33</formula>
    </cfRule>
  </conditionalFormatting>
  <conditionalFormatting sqref="K37">
    <cfRule type="cellIs" dxfId="82" priority="83" operator="lessThan">
      <formula>$M37</formula>
    </cfRule>
  </conditionalFormatting>
  <conditionalFormatting sqref="K34">
    <cfRule type="cellIs" dxfId="81" priority="82" operator="lessThan">
      <formula>$M34</formula>
    </cfRule>
  </conditionalFormatting>
  <conditionalFormatting sqref="K35">
    <cfRule type="cellIs" dxfId="80" priority="81" operator="lessThan">
      <formula>$M35</formula>
    </cfRule>
  </conditionalFormatting>
  <conditionalFormatting sqref="K36">
    <cfRule type="cellIs" dxfId="79" priority="80" operator="lessThan">
      <formula>$M36</formula>
    </cfRule>
  </conditionalFormatting>
  <conditionalFormatting sqref="K38">
    <cfRule type="cellIs" dxfId="78" priority="79" operator="lessThan">
      <formula>$M38</formula>
    </cfRule>
  </conditionalFormatting>
  <conditionalFormatting sqref="K39">
    <cfRule type="cellIs" dxfId="77" priority="78" operator="lessThan">
      <formula>$M39</formula>
    </cfRule>
  </conditionalFormatting>
  <conditionalFormatting sqref="K44">
    <cfRule type="cellIs" dxfId="76" priority="77" operator="lessThan">
      <formula>$M44</formula>
    </cfRule>
  </conditionalFormatting>
  <conditionalFormatting sqref="K48">
    <cfRule type="cellIs" dxfId="75" priority="76" operator="lessThan">
      <formula>$M48</formula>
    </cfRule>
  </conditionalFormatting>
  <conditionalFormatting sqref="K45">
    <cfRule type="cellIs" dxfId="74" priority="75" operator="lessThan">
      <formula>$M45</formula>
    </cfRule>
  </conditionalFormatting>
  <conditionalFormatting sqref="K46">
    <cfRule type="cellIs" dxfId="73" priority="74" operator="lessThan">
      <formula>$M46</formula>
    </cfRule>
  </conditionalFormatting>
  <conditionalFormatting sqref="K47">
    <cfRule type="cellIs" dxfId="72" priority="73" operator="lessThan">
      <formula>$M47</formula>
    </cfRule>
  </conditionalFormatting>
  <conditionalFormatting sqref="K49">
    <cfRule type="cellIs" dxfId="71" priority="72" operator="lessThan">
      <formula>$M49</formula>
    </cfRule>
  </conditionalFormatting>
  <conditionalFormatting sqref="K50">
    <cfRule type="cellIs" dxfId="70" priority="71" operator="lessThan">
      <formula>$M50</formula>
    </cfRule>
  </conditionalFormatting>
  <conditionalFormatting sqref="K55">
    <cfRule type="cellIs" dxfId="69" priority="70" operator="lessThan">
      <formula>$M55</formula>
    </cfRule>
  </conditionalFormatting>
  <conditionalFormatting sqref="K59">
    <cfRule type="cellIs" dxfId="68" priority="69" operator="lessThan">
      <formula>$M59</formula>
    </cfRule>
  </conditionalFormatting>
  <conditionalFormatting sqref="K56">
    <cfRule type="cellIs" dxfId="67" priority="68" operator="lessThan">
      <formula>$M56</formula>
    </cfRule>
  </conditionalFormatting>
  <conditionalFormatting sqref="K57">
    <cfRule type="cellIs" dxfId="66" priority="67" operator="lessThan">
      <formula>$M57</formula>
    </cfRule>
  </conditionalFormatting>
  <conditionalFormatting sqref="K58">
    <cfRule type="cellIs" dxfId="65" priority="66" operator="lessThan">
      <formula>$M58</formula>
    </cfRule>
  </conditionalFormatting>
  <conditionalFormatting sqref="K60">
    <cfRule type="cellIs" dxfId="64" priority="65" operator="lessThan">
      <formula>$M60</formula>
    </cfRule>
  </conditionalFormatting>
  <conditionalFormatting sqref="K61">
    <cfRule type="cellIs" dxfId="63" priority="64" operator="lessThan">
      <formula>$M61</formula>
    </cfRule>
  </conditionalFormatting>
  <conditionalFormatting sqref="K66">
    <cfRule type="cellIs" dxfId="62" priority="63" operator="lessThan">
      <formula>$M66</formula>
    </cfRule>
  </conditionalFormatting>
  <conditionalFormatting sqref="K70">
    <cfRule type="cellIs" dxfId="61" priority="62" operator="lessThan">
      <formula>$M70</formula>
    </cfRule>
  </conditionalFormatting>
  <conditionalFormatting sqref="K67">
    <cfRule type="cellIs" dxfId="60" priority="61" operator="lessThan">
      <formula>$M67</formula>
    </cfRule>
  </conditionalFormatting>
  <conditionalFormatting sqref="K68">
    <cfRule type="cellIs" dxfId="59" priority="60" operator="lessThan">
      <formula>$M68</formula>
    </cfRule>
  </conditionalFormatting>
  <conditionalFormatting sqref="K69">
    <cfRule type="cellIs" dxfId="58" priority="59" operator="lessThan">
      <formula>$M69</formula>
    </cfRule>
  </conditionalFormatting>
  <conditionalFormatting sqref="K71">
    <cfRule type="cellIs" dxfId="57" priority="58" operator="lessThan">
      <formula>$M71</formula>
    </cfRule>
  </conditionalFormatting>
  <conditionalFormatting sqref="K72">
    <cfRule type="cellIs" dxfId="56" priority="57" operator="lessThan">
      <formula>$M72</formula>
    </cfRule>
  </conditionalFormatting>
  <conditionalFormatting sqref="K77">
    <cfRule type="cellIs" dxfId="55" priority="56" operator="lessThan">
      <formula>$M77</formula>
    </cfRule>
  </conditionalFormatting>
  <conditionalFormatting sqref="K81">
    <cfRule type="cellIs" dxfId="54" priority="55" operator="lessThan">
      <formula>$M81</formula>
    </cfRule>
  </conditionalFormatting>
  <conditionalFormatting sqref="K78">
    <cfRule type="cellIs" dxfId="53" priority="54" operator="lessThan">
      <formula>$M78</formula>
    </cfRule>
  </conditionalFormatting>
  <conditionalFormatting sqref="K79">
    <cfRule type="cellIs" dxfId="52" priority="53" operator="lessThan">
      <formula>$M79</formula>
    </cfRule>
  </conditionalFormatting>
  <conditionalFormatting sqref="K80">
    <cfRule type="cellIs" dxfId="51" priority="52" operator="lessThan">
      <formula>$M80</formula>
    </cfRule>
  </conditionalFormatting>
  <conditionalFormatting sqref="K82">
    <cfRule type="cellIs" dxfId="50" priority="51" operator="lessThan">
      <formula>$M82</formula>
    </cfRule>
  </conditionalFormatting>
  <conditionalFormatting sqref="K83">
    <cfRule type="cellIs" dxfId="49" priority="50" operator="lessThan">
      <formula>$M83</formula>
    </cfRule>
  </conditionalFormatting>
  <conditionalFormatting sqref="K88">
    <cfRule type="cellIs" dxfId="48" priority="49" operator="lessThan">
      <formula>$M88</formula>
    </cfRule>
  </conditionalFormatting>
  <conditionalFormatting sqref="K92">
    <cfRule type="cellIs" dxfId="47" priority="48" operator="lessThan">
      <formula>$M92</formula>
    </cfRule>
  </conditionalFormatting>
  <conditionalFormatting sqref="K89">
    <cfRule type="cellIs" dxfId="46" priority="47" operator="lessThan">
      <formula>$M89</formula>
    </cfRule>
  </conditionalFormatting>
  <conditionalFormatting sqref="K90">
    <cfRule type="cellIs" dxfId="45" priority="46" operator="lessThan">
      <formula>$M90</formula>
    </cfRule>
  </conditionalFormatting>
  <conditionalFormatting sqref="K91">
    <cfRule type="cellIs" dxfId="44" priority="45" operator="lessThan">
      <formula>$M91</formula>
    </cfRule>
  </conditionalFormatting>
  <conditionalFormatting sqref="K93">
    <cfRule type="cellIs" dxfId="43" priority="44" operator="lessThan">
      <formula>$M93</formula>
    </cfRule>
  </conditionalFormatting>
  <conditionalFormatting sqref="K94">
    <cfRule type="cellIs" dxfId="42" priority="43" operator="lessThan">
      <formula>$M94</formula>
    </cfRule>
  </conditionalFormatting>
  <conditionalFormatting sqref="K88">
    <cfRule type="cellIs" dxfId="41" priority="42" operator="lessThan">
      <formula>$M88</formula>
    </cfRule>
  </conditionalFormatting>
  <conditionalFormatting sqref="K92">
    <cfRule type="cellIs" dxfId="40" priority="41" operator="lessThan">
      <formula>$M92</formula>
    </cfRule>
  </conditionalFormatting>
  <conditionalFormatting sqref="K89">
    <cfRule type="cellIs" dxfId="39" priority="40" operator="lessThan">
      <formula>$M89</formula>
    </cfRule>
  </conditionalFormatting>
  <conditionalFormatting sqref="K90">
    <cfRule type="cellIs" dxfId="38" priority="39" operator="lessThan">
      <formula>$M90</formula>
    </cfRule>
  </conditionalFormatting>
  <conditionalFormatting sqref="K91">
    <cfRule type="cellIs" dxfId="37" priority="38" operator="lessThan">
      <formula>$M91</formula>
    </cfRule>
  </conditionalFormatting>
  <conditionalFormatting sqref="K93">
    <cfRule type="cellIs" dxfId="36" priority="37" operator="lessThan">
      <formula>$M93</formula>
    </cfRule>
  </conditionalFormatting>
  <conditionalFormatting sqref="K94">
    <cfRule type="cellIs" dxfId="35" priority="36" operator="lessThan">
      <formula>$M94</formula>
    </cfRule>
  </conditionalFormatting>
  <conditionalFormatting sqref="K44:K50">
    <cfRule type="cellIs" dxfId="34" priority="35" operator="lessThan">
      <formula>$M44</formula>
    </cfRule>
  </conditionalFormatting>
  <conditionalFormatting sqref="K48">
    <cfRule type="cellIs" dxfId="33" priority="34" operator="lessThan">
      <formula>$M48</formula>
    </cfRule>
  </conditionalFormatting>
  <conditionalFormatting sqref="K45">
    <cfRule type="cellIs" dxfId="32" priority="33" operator="lessThan">
      <formula>$M45</formula>
    </cfRule>
  </conditionalFormatting>
  <conditionalFormatting sqref="K46">
    <cfRule type="cellIs" dxfId="31" priority="32" operator="lessThan">
      <formula>$M46</formula>
    </cfRule>
  </conditionalFormatting>
  <conditionalFormatting sqref="K47">
    <cfRule type="cellIs" dxfId="30" priority="31" operator="lessThan">
      <formula>$M47</formula>
    </cfRule>
  </conditionalFormatting>
  <conditionalFormatting sqref="K49">
    <cfRule type="cellIs" dxfId="29" priority="30" operator="lessThan">
      <formula>$M49</formula>
    </cfRule>
  </conditionalFormatting>
  <conditionalFormatting sqref="K50">
    <cfRule type="cellIs" dxfId="28" priority="29" operator="lessThan">
      <formula>$M50</formula>
    </cfRule>
  </conditionalFormatting>
  <conditionalFormatting sqref="K55:K61">
    <cfRule type="cellIs" dxfId="27" priority="28" operator="lessThan">
      <formula>$M55</formula>
    </cfRule>
  </conditionalFormatting>
  <conditionalFormatting sqref="K59">
    <cfRule type="cellIs" dxfId="26" priority="27" operator="lessThan">
      <formula>$M59</formula>
    </cfRule>
  </conditionalFormatting>
  <conditionalFormatting sqref="K56">
    <cfRule type="cellIs" dxfId="25" priority="26" operator="lessThan">
      <formula>$M56</formula>
    </cfRule>
  </conditionalFormatting>
  <conditionalFormatting sqref="K57">
    <cfRule type="cellIs" dxfId="24" priority="25" operator="lessThan">
      <formula>$M57</formula>
    </cfRule>
  </conditionalFormatting>
  <conditionalFormatting sqref="K58">
    <cfRule type="cellIs" dxfId="23" priority="24" operator="lessThan">
      <formula>$M58</formula>
    </cfRule>
  </conditionalFormatting>
  <conditionalFormatting sqref="K60">
    <cfRule type="cellIs" dxfId="22" priority="23" operator="lessThan">
      <formula>$M60</formula>
    </cfRule>
  </conditionalFormatting>
  <conditionalFormatting sqref="K61">
    <cfRule type="cellIs" dxfId="21" priority="22" operator="lessThan">
      <formula>$M61</formula>
    </cfRule>
  </conditionalFormatting>
  <conditionalFormatting sqref="K66:K72">
    <cfRule type="cellIs" dxfId="20" priority="21" operator="lessThan">
      <formula>$M66</formula>
    </cfRule>
  </conditionalFormatting>
  <conditionalFormatting sqref="K70">
    <cfRule type="cellIs" dxfId="19" priority="20" operator="lessThan">
      <formula>$M70</formula>
    </cfRule>
  </conditionalFormatting>
  <conditionalFormatting sqref="K67">
    <cfRule type="cellIs" dxfId="18" priority="19" operator="lessThan">
      <formula>$M67</formula>
    </cfRule>
  </conditionalFormatting>
  <conditionalFormatting sqref="K68">
    <cfRule type="cellIs" dxfId="17" priority="18" operator="lessThan">
      <formula>$M68</formula>
    </cfRule>
  </conditionalFormatting>
  <conditionalFormatting sqref="K69">
    <cfRule type="cellIs" dxfId="16" priority="17" operator="lessThan">
      <formula>$M69</formula>
    </cfRule>
  </conditionalFormatting>
  <conditionalFormatting sqref="K71">
    <cfRule type="cellIs" dxfId="15" priority="16" operator="lessThan">
      <formula>$M71</formula>
    </cfRule>
  </conditionalFormatting>
  <conditionalFormatting sqref="K72">
    <cfRule type="cellIs" dxfId="14" priority="15" operator="lessThan">
      <formula>$M72</formula>
    </cfRule>
  </conditionalFormatting>
  <conditionalFormatting sqref="K77:K83">
    <cfRule type="cellIs" dxfId="13" priority="14" operator="lessThan">
      <formula>$M77</formula>
    </cfRule>
  </conditionalFormatting>
  <conditionalFormatting sqref="K81">
    <cfRule type="cellIs" dxfId="12" priority="13" operator="lessThan">
      <formula>$M81</formula>
    </cfRule>
  </conditionalFormatting>
  <conditionalFormatting sqref="K78">
    <cfRule type="cellIs" dxfId="11" priority="12" operator="lessThan">
      <formula>$M78</formula>
    </cfRule>
  </conditionalFormatting>
  <conditionalFormatting sqref="K79">
    <cfRule type="cellIs" dxfId="10" priority="11" operator="lessThan">
      <formula>$M79</formula>
    </cfRule>
  </conditionalFormatting>
  <conditionalFormatting sqref="K80">
    <cfRule type="cellIs" dxfId="9" priority="10" operator="lessThan">
      <formula>$M80</formula>
    </cfRule>
  </conditionalFormatting>
  <conditionalFormatting sqref="K82">
    <cfRule type="cellIs" dxfId="8" priority="9" operator="lessThan">
      <formula>$M82</formula>
    </cfRule>
  </conditionalFormatting>
  <conditionalFormatting sqref="K83">
    <cfRule type="cellIs" dxfId="7" priority="8" operator="lessThan">
      <formula>$M83</formula>
    </cfRule>
  </conditionalFormatting>
  <conditionalFormatting sqref="K88:K94">
    <cfRule type="cellIs" dxfId="6" priority="7" operator="lessThan">
      <formula>$M88</formula>
    </cfRule>
  </conditionalFormatting>
  <conditionalFormatting sqref="K92">
    <cfRule type="cellIs" dxfId="5" priority="6" operator="lessThan">
      <formula>$M92</formula>
    </cfRule>
  </conditionalFormatting>
  <conditionalFormatting sqref="K89">
    <cfRule type="cellIs" dxfId="4" priority="5" operator="lessThan">
      <formula>$M89</formula>
    </cfRule>
  </conditionalFormatting>
  <conditionalFormatting sqref="K90">
    <cfRule type="cellIs" dxfId="3" priority="4" operator="lessThan">
      <formula>$M90</formula>
    </cfRule>
  </conditionalFormatting>
  <conditionalFormatting sqref="K91">
    <cfRule type="cellIs" dxfId="2" priority="3" operator="lessThan">
      <formula>$M91</formula>
    </cfRule>
  </conditionalFormatting>
  <conditionalFormatting sqref="K93">
    <cfRule type="cellIs" dxfId="1" priority="2" operator="lessThan">
      <formula>$M93</formula>
    </cfRule>
  </conditionalFormatting>
  <conditionalFormatting sqref="K94">
    <cfRule type="cellIs" dxfId="0" priority="1" operator="lessThan">
      <formula>$M94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2"/>
  <sheetViews>
    <sheetView topLeftCell="A24" workbookViewId="0">
      <selection activeCell="D46" sqref="D46"/>
    </sheetView>
  </sheetViews>
  <sheetFormatPr defaultRowHeight="15"/>
  <cols>
    <col min="2" max="2" width="15" customWidth="1"/>
    <col min="4" max="4" width="11.42578125" customWidth="1"/>
    <col min="5" max="5" width="13.7109375" customWidth="1"/>
    <col min="11" max="11" width="9.5703125" bestFit="1" customWidth="1"/>
    <col min="12" max="12" width="10.28515625" customWidth="1"/>
  </cols>
  <sheetData>
    <row r="1" spans="1:14" ht="48">
      <c r="A1" s="33" t="s">
        <v>23</v>
      </c>
      <c r="B1" s="33" t="s">
        <v>24</v>
      </c>
      <c r="C1" s="34" t="s">
        <v>25</v>
      </c>
      <c r="D1" s="34" t="s">
        <v>62</v>
      </c>
      <c r="E1" s="71" t="s">
        <v>26</v>
      </c>
      <c r="F1" s="71" t="s">
        <v>27</v>
      </c>
      <c r="G1" s="71" t="s">
        <v>28</v>
      </c>
      <c r="H1" s="71" t="s">
        <v>29</v>
      </c>
      <c r="I1" s="71" t="s">
        <v>30</v>
      </c>
      <c r="J1" s="71" t="s">
        <v>10</v>
      </c>
      <c r="K1" s="71" t="s">
        <v>31</v>
      </c>
      <c r="L1" s="71" t="s">
        <v>32</v>
      </c>
      <c r="M1" s="71" t="s">
        <v>33</v>
      </c>
      <c r="N1" s="71" t="s">
        <v>64</v>
      </c>
    </row>
    <row r="2" spans="1:14">
      <c r="A2" s="76" t="str">
        <f>Entry!A33</f>
        <v>042513-1</v>
      </c>
      <c r="B2" s="36">
        <f>Entry!B33</f>
        <v>2401.9885249999998</v>
      </c>
      <c r="C2" s="37">
        <v>3</v>
      </c>
      <c r="D2" s="37" t="str">
        <f>CONCATENATE(A2,"-",C2)</f>
        <v>042513-1-3</v>
      </c>
      <c r="E2" s="14">
        <f>Entry!D33</f>
        <v>79.915000000000006</v>
      </c>
      <c r="F2" s="14">
        <f>Entry!F33</f>
        <v>13.216200000000001</v>
      </c>
      <c r="G2" s="14">
        <f>Entry!G33</f>
        <v>0</v>
      </c>
      <c r="H2" s="14">
        <f>Entry!H33</f>
        <v>2.2244999999999999</v>
      </c>
      <c r="I2" s="14">
        <f>Entry!I33</f>
        <v>0.66269999999999996</v>
      </c>
      <c r="J2" s="14">
        <f>Entry!E33</f>
        <v>700.17389000000003</v>
      </c>
      <c r="K2" s="38">
        <f t="shared" ref="K2:K43" si="0">$C$50*J2/$B$2</f>
        <v>0.20783778872132622</v>
      </c>
      <c r="L2" s="83">
        <v>0</v>
      </c>
      <c r="M2" s="40">
        <f t="shared" ref="M2:M43" si="1">K2*L2/0.93/1000</f>
        <v>0</v>
      </c>
      <c r="N2" s="39">
        <f>Entry!M33</f>
        <v>1912.1</v>
      </c>
    </row>
    <row r="3" spans="1:14">
      <c r="A3" s="77" t="str">
        <f>Entry!A33</f>
        <v>042513-1</v>
      </c>
      <c r="B3" s="42"/>
      <c r="C3" s="37">
        <v>4</v>
      </c>
      <c r="D3" s="37" t="str">
        <f t="shared" ref="D3:D43" si="2">CONCATENATE(A3,"-",C3)</f>
        <v>042513-1-4</v>
      </c>
      <c r="E3" s="14">
        <f>Entry!D34</f>
        <v>94.020300000000006</v>
      </c>
      <c r="F3" s="14">
        <f>Entry!F34</f>
        <v>4.5834999999999999</v>
      </c>
      <c r="G3" s="14">
        <f>Entry!G34</f>
        <v>0</v>
      </c>
      <c r="H3" s="14">
        <f>Entry!H34</f>
        <v>0.58540000000000003</v>
      </c>
      <c r="I3" s="14">
        <f>Entry!I34</f>
        <v>0.61850000000000005</v>
      </c>
      <c r="J3" s="14">
        <f>Entry!E34</f>
        <v>2522.2705099999998</v>
      </c>
      <c r="K3" s="38">
        <f t="shared" si="0"/>
        <v>0.74870419026252422</v>
      </c>
      <c r="L3" s="83">
        <v>1934.9</v>
      </c>
      <c r="M3" s="40">
        <f t="shared" si="1"/>
        <v>1.5577072448806</v>
      </c>
      <c r="N3" s="39">
        <f>Entry!M34</f>
        <v>1934.9</v>
      </c>
    </row>
    <row r="4" spans="1:14">
      <c r="A4" s="77" t="str">
        <f>Entry!A33</f>
        <v>042513-1</v>
      </c>
      <c r="B4" s="43"/>
      <c r="C4" s="37">
        <v>5</v>
      </c>
      <c r="D4" s="37" t="str">
        <f t="shared" si="2"/>
        <v>042513-1-5</v>
      </c>
      <c r="E4" s="14">
        <f>Entry!D35</f>
        <v>96.155699999999996</v>
      </c>
      <c r="F4" s="14">
        <f>Entry!F35</f>
        <v>1.4941</v>
      </c>
      <c r="G4" s="14">
        <f>Entry!G35</f>
        <v>0</v>
      </c>
      <c r="H4" s="14">
        <f>Entry!H35</f>
        <v>0.38869999999999999</v>
      </c>
      <c r="I4" s="14">
        <f>Entry!I35</f>
        <v>1.7528999999999999</v>
      </c>
      <c r="J4" s="14">
        <f>Entry!E35</f>
        <v>3121.5873999999999</v>
      </c>
      <c r="K4" s="38">
        <f t="shared" si="0"/>
        <v>0.9266038505325499</v>
      </c>
      <c r="L4" s="83">
        <v>1945.9</v>
      </c>
      <c r="M4" s="40">
        <f t="shared" si="1"/>
        <v>1.9387940137110633</v>
      </c>
      <c r="N4" s="39">
        <f>Entry!M35</f>
        <v>1945.9</v>
      </c>
    </row>
    <row r="5" spans="1:14">
      <c r="A5" s="77" t="str">
        <f>Entry!A33</f>
        <v>042513-1</v>
      </c>
      <c r="B5" s="43"/>
      <c r="C5" s="37">
        <v>6</v>
      </c>
      <c r="D5" s="37" t="str">
        <f t="shared" si="2"/>
        <v>042513-1-6</v>
      </c>
      <c r="E5" s="14">
        <f>Entry!D36</f>
        <v>95.750200000000007</v>
      </c>
      <c r="F5" s="14">
        <f>Entry!F36</f>
        <v>2.8022999999999998</v>
      </c>
      <c r="G5" s="14">
        <f>Entry!G36</f>
        <v>0</v>
      </c>
      <c r="H5" s="14">
        <f>Entry!H36</f>
        <v>0.38440000000000002</v>
      </c>
      <c r="I5" s="14">
        <f>Entry!I36</f>
        <v>1.0630999999999999</v>
      </c>
      <c r="J5" s="14">
        <f>Entry!E36</f>
        <v>1113.0495599999999</v>
      </c>
      <c r="K5" s="38">
        <f>$C$50*J5/$B$2</f>
        <v>0.33039472421293103</v>
      </c>
      <c r="L5" s="83">
        <v>1661.2170000000001</v>
      </c>
      <c r="M5" s="40">
        <f t="shared" si="1"/>
        <v>0.59016917480949749</v>
      </c>
      <c r="N5" s="39">
        <f>Entry!M36</f>
        <v>1914.2</v>
      </c>
    </row>
    <row r="6" spans="1:14">
      <c r="A6" s="77" t="str">
        <f>Entry!A33</f>
        <v>042513-1</v>
      </c>
      <c r="B6" s="43"/>
      <c r="C6" s="37">
        <v>7</v>
      </c>
      <c r="D6" s="37" t="str">
        <f t="shared" si="2"/>
        <v>042513-1-7</v>
      </c>
      <c r="E6" s="14">
        <f>Entry!D37</f>
        <v>96.471199999999996</v>
      </c>
      <c r="F6" s="14">
        <f>Entry!F37</f>
        <v>0.77439999999999998</v>
      </c>
      <c r="G6" s="14">
        <f>Entry!G37</f>
        <v>0.57010000000000005</v>
      </c>
      <c r="H6" s="14">
        <f>Entry!H37</f>
        <v>0.49469999999999997</v>
      </c>
      <c r="I6" s="14">
        <f>Entry!I37</f>
        <v>1.6897</v>
      </c>
      <c r="J6" s="14">
        <f>Entry!E37</f>
        <v>2121.9233399999998</v>
      </c>
      <c r="K6" s="38">
        <f t="shared" si="0"/>
        <v>0.62986618198769284</v>
      </c>
      <c r="L6" s="83">
        <v>1927.5</v>
      </c>
      <c r="M6" s="40">
        <f t="shared" si="1"/>
        <v>1.3054484578293311</v>
      </c>
      <c r="N6" s="39">
        <f>Entry!M37</f>
        <v>1927.5</v>
      </c>
    </row>
    <row r="7" spans="1:14">
      <c r="A7" s="77" t="str">
        <f>Entry!A33</f>
        <v>042513-1</v>
      </c>
      <c r="B7" s="43"/>
      <c r="C7" s="37">
        <v>8</v>
      </c>
      <c r="D7" s="37" t="str">
        <f t="shared" si="2"/>
        <v>042513-1-8</v>
      </c>
      <c r="E7" s="14">
        <f>Entry!D38</f>
        <v>85.056299999999993</v>
      </c>
      <c r="F7" s="14">
        <f>Entry!F38</f>
        <v>0</v>
      </c>
      <c r="G7" s="14">
        <f>Entry!G38</f>
        <v>1.9124000000000001</v>
      </c>
      <c r="H7" s="14">
        <f>Entry!H38</f>
        <v>2.8071999999999999</v>
      </c>
      <c r="I7" s="14">
        <f>Entry!I38</f>
        <v>5.5297999999999998</v>
      </c>
      <c r="J7" s="14">
        <f>Entry!E38</f>
        <v>1261.7409700000001</v>
      </c>
      <c r="K7" s="38">
        <f t="shared" si="0"/>
        <v>0.37453189398979336</v>
      </c>
      <c r="L7" s="83">
        <v>1895.4</v>
      </c>
      <c r="M7" s="40">
        <f t="shared" si="1"/>
        <v>0.76332016329919816</v>
      </c>
      <c r="N7" s="39">
        <f>Entry!M38</f>
        <v>1895.4</v>
      </c>
    </row>
    <row r="8" spans="1:14">
      <c r="A8" s="78" t="str">
        <f>Entry!A33</f>
        <v>042513-1</v>
      </c>
      <c r="B8" s="44"/>
      <c r="C8" s="37">
        <v>9</v>
      </c>
      <c r="D8" s="37" t="str">
        <f t="shared" si="2"/>
        <v>042513-1-9</v>
      </c>
      <c r="E8" s="14">
        <f>Entry!D39</f>
        <v>86.874499999999998</v>
      </c>
      <c r="F8" s="14">
        <f>Entry!F39</f>
        <v>0</v>
      </c>
      <c r="G8" s="14">
        <f>Entry!G39</f>
        <v>0</v>
      </c>
      <c r="H8" s="14">
        <f>Entry!H39</f>
        <v>2.306</v>
      </c>
      <c r="I8" s="14">
        <f>Entry!I39</f>
        <v>6.7609000000000004</v>
      </c>
      <c r="J8" s="14">
        <f>Entry!E39</f>
        <v>114.73866</v>
      </c>
      <c r="K8" s="38">
        <f t="shared" si="0"/>
        <v>3.4058724148151379E-2</v>
      </c>
      <c r="L8" s="83">
        <v>0</v>
      </c>
      <c r="M8" s="40">
        <f t="shared" si="1"/>
        <v>0</v>
      </c>
      <c r="N8" s="39">
        <f>Entry!M39</f>
        <v>1192.4000000000001</v>
      </c>
    </row>
    <row r="9" spans="1:14">
      <c r="A9" s="76" t="str">
        <f>Entry!A44</f>
        <v>042513-2</v>
      </c>
      <c r="B9" s="36">
        <f>Entry!B44</f>
        <v>2445.3298333333332</v>
      </c>
      <c r="C9" s="37">
        <v>3</v>
      </c>
      <c r="D9" s="37" t="str">
        <f t="shared" si="2"/>
        <v>042513-2-3</v>
      </c>
      <c r="E9" s="14">
        <f>Entry!D44</f>
        <v>80.9208</v>
      </c>
      <c r="F9" s="14">
        <f>Entry!F44</f>
        <v>12.853899999999999</v>
      </c>
      <c r="G9" s="14">
        <f>Entry!G44</f>
        <v>0</v>
      </c>
      <c r="H9" s="14">
        <f>Entry!H44</f>
        <v>1.7025999999999999</v>
      </c>
      <c r="I9" s="14">
        <f>Entry!I44</f>
        <v>0.39369999999999999</v>
      </c>
      <c r="J9" s="14">
        <f>Entry!E44</f>
        <v>719.01349000000005</v>
      </c>
      <c r="K9" s="38">
        <f t="shared" si="0"/>
        <v>0.21343008637811878</v>
      </c>
      <c r="L9" s="83">
        <v>918.56775000000005</v>
      </c>
      <c r="M9" s="40">
        <f t="shared" si="1"/>
        <v>0.21080644540500454</v>
      </c>
      <c r="N9" s="39">
        <f>Entry!M44</f>
        <v>1986.8</v>
      </c>
    </row>
    <row r="10" spans="1:14">
      <c r="A10" s="77" t="str">
        <f>Entry!A44</f>
        <v>042513-2</v>
      </c>
      <c r="B10" s="42"/>
      <c r="C10" s="37">
        <v>4</v>
      </c>
      <c r="D10" s="37" t="str">
        <f t="shared" si="2"/>
        <v>042513-2-4</v>
      </c>
      <c r="E10" s="14">
        <f>Entry!D45</f>
        <v>93.851100000000002</v>
      </c>
      <c r="F10" s="14">
        <f>Entry!F45</f>
        <v>4.5094000000000003</v>
      </c>
      <c r="G10" s="14">
        <f>Entry!G45</f>
        <v>0</v>
      </c>
      <c r="H10" s="14">
        <f>Entry!H45</f>
        <v>0.62</v>
      </c>
      <c r="I10" s="14">
        <f>Entry!I45</f>
        <v>0.84589999999999999</v>
      </c>
      <c r="J10" s="14">
        <f>Entry!E45</f>
        <v>2673.7128899999998</v>
      </c>
      <c r="K10" s="38">
        <f t="shared" si="0"/>
        <v>0.79365795078891976</v>
      </c>
      <c r="L10" s="83">
        <v>1967.2</v>
      </c>
      <c r="M10" s="40">
        <f t="shared" si="1"/>
        <v>1.6787999148300679</v>
      </c>
      <c r="N10" s="39">
        <f>Entry!M45</f>
        <v>1967.2</v>
      </c>
    </row>
    <row r="11" spans="1:14">
      <c r="A11" s="77" t="str">
        <f>Entry!A44</f>
        <v>042513-2</v>
      </c>
      <c r="B11" s="43"/>
      <c r="C11" s="37">
        <v>5</v>
      </c>
      <c r="D11" s="37" t="str">
        <f t="shared" si="2"/>
        <v>042513-2-5</v>
      </c>
      <c r="E11" s="14">
        <f>Entry!D46</f>
        <v>96.249600000000001</v>
      </c>
      <c r="F11" s="14">
        <f>Entry!F46</f>
        <v>1.4544999999999999</v>
      </c>
      <c r="G11" s="14">
        <f>Entry!G46</f>
        <v>0</v>
      </c>
      <c r="H11" s="14">
        <f>Entry!H46</f>
        <v>0.34939999999999999</v>
      </c>
      <c r="I11" s="14">
        <f>Entry!I46</f>
        <v>1.7643</v>
      </c>
      <c r="J11" s="14">
        <f>Entry!E46</f>
        <v>3108.2907700000001</v>
      </c>
      <c r="K11" s="38">
        <f t="shared" si="0"/>
        <v>0.92265691361285751</v>
      </c>
      <c r="L11" s="83">
        <v>0</v>
      </c>
      <c r="M11" s="40">
        <f t="shared" si="1"/>
        <v>0</v>
      </c>
      <c r="N11" s="39">
        <f>Entry!M46</f>
        <v>1981.7</v>
      </c>
    </row>
    <row r="12" spans="1:14">
      <c r="A12" s="77" t="str">
        <f>Entry!A44</f>
        <v>042513-2</v>
      </c>
      <c r="B12" s="43"/>
      <c r="C12" s="37">
        <v>6</v>
      </c>
      <c r="D12" s="37" t="str">
        <f t="shared" si="2"/>
        <v>042513-2-6</v>
      </c>
      <c r="E12" s="14">
        <f>Entry!D47</f>
        <v>96.090800000000002</v>
      </c>
      <c r="F12" s="14">
        <f>Entry!F47</f>
        <v>2.8395999999999999</v>
      </c>
      <c r="G12" s="14">
        <f>Entry!G47</f>
        <v>0</v>
      </c>
      <c r="H12" s="14">
        <f>Entry!H47</f>
        <v>0</v>
      </c>
      <c r="I12" s="14">
        <f>Entry!I47</f>
        <v>1.0694999999999999</v>
      </c>
      <c r="J12" s="14">
        <f>Entry!E47</f>
        <v>1141.36365</v>
      </c>
      <c r="K12" s="38">
        <f t="shared" si="0"/>
        <v>0.33879940473487485</v>
      </c>
      <c r="L12" s="83">
        <v>0</v>
      </c>
      <c r="M12" s="40">
        <f t="shared" si="1"/>
        <v>0</v>
      </c>
      <c r="N12" s="39">
        <f>Entry!M47</f>
        <v>1948</v>
      </c>
    </row>
    <row r="13" spans="1:14">
      <c r="A13" s="77" t="str">
        <f>Entry!A44</f>
        <v>042513-2</v>
      </c>
      <c r="B13" s="43"/>
      <c r="C13" s="37">
        <v>7</v>
      </c>
      <c r="D13" s="37" t="str">
        <f t="shared" si="2"/>
        <v>042513-2-7</v>
      </c>
      <c r="E13" s="14">
        <f>Entry!D48</f>
        <v>95.367699999999999</v>
      </c>
      <c r="F13" s="14">
        <f>Entry!F48</f>
        <v>1.3058000000000001</v>
      </c>
      <c r="G13" s="14">
        <f>Entry!G48</f>
        <v>0</v>
      </c>
      <c r="H13" s="14">
        <f>Entry!H48</f>
        <v>0.57020000000000004</v>
      </c>
      <c r="I13" s="14">
        <f>Entry!I48</f>
        <v>2.0575999999999999</v>
      </c>
      <c r="J13" s="14">
        <f>Entry!E48</f>
        <v>2324.9521500000001</v>
      </c>
      <c r="K13" s="38">
        <f t="shared" si="0"/>
        <v>0.69013272365653799</v>
      </c>
      <c r="L13" s="83">
        <v>0</v>
      </c>
      <c r="M13" s="40">
        <f t="shared" si="1"/>
        <v>0</v>
      </c>
      <c r="N13" s="39">
        <f>Entry!M48</f>
        <v>1897.9</v>
      </c>
    </row>
    <row r="14" spans="1:14">
      <c r="A14" s="77" t="str">
        <f>Entry!A44</f>
        <v>042513-2</v>
      </c>
      <c r="B14" s="43"/>
      <c r="C14" s="37">
        <v>8</v>
      </c>
      <c r="D14" s="37" t="str">
        <f t="shared" si="2"/>
        <v>042513-2-8</v>
      </c>
      <c r="E14" s="14">
        <f>Entry!D49</f>
        <v>86.062799999999996</v>
      </c>
      <c r="F14" s="14">
        <f>Entry!F49</f>
        <v>0</v>
      </c>
      <c r="G14" s="14">
        <f>Entry!G49</f>
        <v>1.8923000000000001</v>
      </c>
      <c r="H14" s="14">
        <f>Entry!H49</f>
        <v>2.7092999999999998</v>
      </c>
      <c r="I14" s="14">
        <f>Entry!I49</f>
        <v>5.2944000000000004</v>
      </c>
      <c r="J14" s="14">
        <f>Entry!E49</f>
        <v>1434.16418</v>
      </c>
      <c r="K14" s="38">
        <f t="shared" si="0"/>
        <v>0.42571354929349636</v>
      </c>
      <c r="L14" s="83">
        <v>1890.9</v>
      </c>
      <c r="M14" s="40">
        <f t="shared" si="1"/>
        <v>0.86557177457964762</v>
      </c>
      <c r="N14" s="39">
        <f>Entry!M49</f>
        <v>1890.9</v>
      </c>
    </row>
    <row r="15" spans="1:14">
      <c r="A15" s="78" t="str">
        <f>Entry!A44</f>
        <v>042513-2</v>
      </c>
      <c r="B15" s="44"/>
      <c r="C15" s="37">
        <v>9</v>
      </c>
      <c r="D15" s="37" t="str">
        <f t="shared" si="2"/>
        <v>042513-2-9</v>
      </c>
      <c r="E15" s="14">
        <f>Entry!D50</f>
        <v>84.411100000000005</v>
      </c>
      <c r="F15" s="14">
        <f>Entry!F50</f>
        <v>0</v>
      </c>
      <c r="G15" s="14">
        <f>Entry!G50</f>
        <v>0</v>
      </c>
      <c r="H15" s="14">
        <f>Entry!H50</f>
        <v>1.742</v>
      </c>
      <c r="I15" s="14">
        <f>Entry!I50</f>
        <v>6.5374999999999996</v>
      </c>
      <c r="J15" s="14">
        <f>Entry!E50</f>
        <v>131.67075</v>
      </c>
      <c r="K15" s="38">
        <f t="shared" si="0"/>
        <v>3.9084801518774949E-2</v>
      </c>
      <c r="L15" s="83">
        <v>0</v>
      </c>
      <c r="M15" s="40">
        <f t="shared" si="1"/>
        <v>0</v>
      </c>
      <c r="N15" s="39">
        <f>Entry!M50</f>
        <v>1648.8</v>
      </c>
    </row>
    <row r="16" spans="1:14">
      <c r="A16" s="76" t="str">
        <f>Entry!A55</f>
        <v>042513-3</v>
      </c>
      <c r="B16" s="36">
        <f>Entry!B55</f>
        <v>2401.9885249999998</v>
      </c>
      <c r="C16" s="37">
        <v>3</v>
      </c>
      <c r="D16" s="37" t="str">
        <f t="shared" si="2"/>
        <v>042513-3-3</v>
      </c>
      <c r="E16" s="14">
        <f>Entry!D55</f>
        <v>80.702200000000005</v>
      </c>
      <c r="F16" s="14">
        <f>Entry!F55</f>
        <v>13.0763</v>
      </c>
      <c r="G16" s="14">
        <f>Entry!G55</f>
        <v>0</v>
      </c>
      <c r="H16" s="14">
        <f>Entry!H55</f>
        <v>2.1192000000000002</v>
      </c>
      <c r="I16" s="14">
        <f>Entry!I55</f>
        <v>0.504</v>
      </c>
      <c r="J16" s="14">
        <f>Entry!E55</f>
        <v>747.16125</v>
      </c>
      <c r="K16" s="38">
        <f t="shared" si="0"/>
        <v>0.22178539393730035</v>
      </c>
      <c r="L16" s="83">
        <v>0</v>
      </c>
      <c r="M16" s="40">
        <f t="shared" si="1"/>
        <v>0</v>
      </c>
      <c r="N16" s="39">
        <f>Entry!M55</f>
        <v>1919.4</v>
      </c>
    </row>
    <row r="17" spans="1:14">
      <c r="A17" s="77" t="str">
        <f>Entry!A55</f>
        <v>042513-3</v>
      </c>
      <c r="B17" s="42"/>
      <c r="C17" s="37">
        <v>4</v>
      </c>
      <c r="D17" s="37" t="str">
        <f t="shared" si="2"/>
        <v>042513-3-4</v>
      </c>
      <c r="E17" s="14">
        <f>Entry!D56</f>
        <v>93.944699999999997</v>
      </c>
      <c r="F17" s="14">
        <f>Entry!F56</f>
        <v>4.7046999999999999</v>
      </c>
      <c r="G17" s="14">
        <f>Entry!G56</f>
        <v>0</v>
      </c>
      <c r="H17" s="14">
        <f>Entry!H56</f>
        <v>0.57350000000000001</v>
      </c>
      <c r="I17" s="14">
        <f>Entry!I56</f>
        <v>0.59319999999999995</v>
      </c>
      <c r="J17" s="14">
        <f>Entry!E56</f>
        <v>2679.2785600000002</v>
      </c>
      <c r="K17" s="38">
        <f t="shared" si="0"/>
        <v>0.79531004973472974</v>
      </c>
      <c r="L17" s="83">
        <v>1893.2</v>
      </c>
      <c r="M17" s="40">
        <f t="shared" si="1"/>
        <v>1.6190118130728928</v>
      </c>
      <c r="N17" s="39">
        <f>Entry!M56</f>
        <v>1893.2</v>
      </c>
    </row>
    <row r="18" spans="1:14">
      <c r="A18" s="77" t="str">
        <f>Entry!A55</f>
        <v>042513-3</v>
      </c>
      <c r="B18" s="43"/>
      <c r="C18" s="37">
        <v>5</v>
      </c>
      <c r="D18" s="37" t="str">
        <f t="shared" si="2"/>
        <v>042513-3-5</v>
      </c>
      <c r="E18" s="14">
        <f>Entry!D57</f>
        <v>96.251199999999997</v>
      </c>
      <c r="F18" s="14">
        <f>Entry!F57</f>
        <v>1.4407000000000001</v>
      </c>
      <c r="G18" s="14">
        <f>Entry!G57</f>
        <v>0</v>
      </c>
      <c r="H18" s="14">
        <f>Entry!H57</f>
        <v>0.39090000000000003</v>
      </c>
      <c r="I18" s="14">
        <f>Entry!I57</f>
        <v>1.8222</v>
      </c>
      <c r="J18" s="14">
        <f>Entry!E57</f>
        <v>3405.6784699999998</v>
      </c>
      <c r="K18" s="38">
        <f t="shared" si="0"/>
        <v>1.0109327017330358</v>
      </c>
      <c r="L18" s="83">
        <v>0</v>
      </c>
      <c r="M18" s="40">
        <f t="shared" si="1"/>
        <v>0</v>
      </c>
      <c r="N18" s="39">
        <f>Entry!M57</f>
        <v>1908.4</v>
      </c>
    </row>
    <row r="19" spans="1:14">
      <c r="A19" s="77" t="str">
        <f>Entry!A55</f>
        <v>042513-3</v>
      </c>
      <c r="B19" s="43"/>
      <c r="C19" s="37">
        <v>6</v>
      </c>
      <c r="D19" s="37" t="str">
        <f t="shared" si="2"/>
        <v>042513-3-6</v>
      </c>
      <c r="E19" s="14">
        <f>Entry!D58</f>
        <v>95.958299999999994</v>
      </c>
      <c r="F19" s="14">
        <f>Entry!F58</f>
        <v>3.0802</v>
      </c>
      <c r="G19" s="14">
        <f>Entry!G58</f>
        <v>0</v>
      </c>
      <c r="H19" s="14">
        <f>Entry!H58</f>
        <v>0</v>
      </c>
      <c r="I19" s="14">
        <f>Entry!I58</f>
        <v>0.96150000000000002</v>
      </c>
      <c r="J19" s="14">
        <f>Entry!E58</f>
        <v>1090.8175000000001</v>
      </c>
      <c r="K19" s="38">
        <f t="shared" si="0"/>
        <v>0.323795417590515</v>
      </c>
      <c r="L19" s="83">
        <v>0</v>
      </c>
      <c r="M19" s="40">
        <f t="shared" si="1"/>
        <v>0</v>
      </c>
      <c r="N19" s="39">
        <f>Entry!M58</f>
        <v>1904.1</v>
      </c>
    </row>
    <row r="20" spans="1:14">
      <c r="A20" s="77" t="str">
        <f>Entry!A55</f>
        <v>042513-3</v>
      </c>
      <c r="B20" s="43"/>
      <c r="C20" s="37">
        <v>7</v>
      </c>
      <c r="D20" s="37" t="str">
        <f t="shared" si="2"/>
        <v>042513-3-7</v>
      </c>
      <c r="E20" s="14">
        <f>Entry!D59</f>
        <v>97.572699999999998</v>
      </c>
      <c r="F20" s="14">
        <f>Entry!F59</f>
        <v>1.39</v>
      </c>
      <c r="G20" s="14">
        <f>Entry!G59</f>
        <v>0</v>
      </c>
      <c r="H20" s="14">
        <f>Entry!H59</f>
        <v>0</v>
      </c>
      <c r="I20" s="14">
        <f>Entry!I59</f>
        <v>1.0373000000000001</v>
      </c>
      <c r="J20" s="14">
        <f>Entry!E59</f>
        <v>1913.5904499999999</v>
      </c>
      <c r="K20" s="38">
        <f t="shared" si="0"/>
        <v>0.56802519106539029</v>
      </c>
      <c r="L20" s="83">
        <v>1887.8</v>
      </c>
      <c r="M20" s="40">
        <f t="shared" si="1"/>
        <v>1.1530300598852081</v>
      </c>
      <c r="N20" s="39">
        <f>Entry!M59</f>
        <v>1887.8</v>
      </c>
    </row>
    <row r="21" spans="1:14">
      <c r="A21" s="77" t="str">
        <f>Entry!A55</f>
        <v>042513-3</v>
      </c>
      <c r="B21" s="43"/>
      <c r="C21" s="37">
        <v>8</v>
      </c>
      <c r="D21" s="37" t="str">
        <f t="shared" si="2"/>
        <v>042513-3-8</v>
      </c>
      <c r="E21" s="14">
        <f>Entry!D60</f>
        <v>88.561999999999998</v>
      </c>
      <c r="F21" s="14">
        <f>Entry!F60</f>
        <v>0.38450000000000001</v>
      </c>
      <c r="G21" s="14">
        <f>Entry!G60</f>
        <v>1.2665</v>
      </c>
      <c r="H21" s="14">
        <f>Entry!H60</f>
        <v>2.0743999999999998</v>
      </c>
      <c r="I21" s="14">
        <f>Entry!I60</f>
        <v>4.4859</v>
      </c>
      <c r="J21" s="14">
        <f>Entry!E60</f>
        <v>2201.6672400000002</v>
      </c>
      <c r="K21" s="38">
        <f t="shared" si="0"/>
        <v>0.65353715298036252</v>
      </c>
      <c r="L21" s="83">
        <v>1928.8</v>
      </c>
      <c r="M21" s="40">
        <f t="shared" si="1"/>
        <v>1.3554220007188422</v>
      </c>
      <c r="N21" s="39">
        <f>Entry!M60</f>
        <v>1928.8</v>
      </c>
    </row>
    <row r="22" spans="1:14">
      <c r="A22" s="78" t="str">
        <f>Entry!A55</f>
        <v>042513-3</v>
      </c>
      <c r="B22" s="44"/>
      <c r="C22" s="37">
        <v>9</v>
      </c>
      <c r="D22" s="37" t="str">
        <f t="shared" si="2"/>
        <v>042513-3-9</v>
      </c>
      <c r="E22" s="14">
        <f>Entry!D61</f>
        <v>84.5304</v>
      </c>
      <c r="F22" s="14">
        <f>Entry!F61</f>
        <v>0</v>
      </c>
      <c r="G22" s="14">
        <f>Entry!G61</f>
        <v>2.6884000000000001</v>
      </c>
      <c r="H22" s="14">
        <f>Entry!H61</f>
        <v>3.1819999999999999</v>
      </c>
      <c r="I22" s="14">
        <f>Entry!I61</f>
        <v>6.3710000000000004</v>
      </c>
      <c r="J22" s="14">
        <f>Entry!E61</f>
        <v>223.16460000000001</v>
      </c>
      <c r="K22" s="38">
        <f t="shared" si="0"/>
        <v>6.6243596979714964E-2</v>
      </c>
      <c r="L22" s="83">
        <v>0</v>
      </c>
      <c r="M22" s="40">
        <f t="shared" si="1"/>
        <v>0</v>
      </c>
      <c r="N22" s="39">
        <f>Entry!M61</f>
        <v>2077.8000000000002</v>
      </c>
    </row>
    <row r="23" spans="1:14">
      <c r="A23" s="76" t="str">
        <f>Entry!A66</f>
        <v>042513-4</v>
      </c>
      <c r="B23" s="36">
        <f>Entry!B66</f>
        <v>2385.7688800000001</v>
      </c>
      <c r="C23" s="37">
        <v>3</v>
      </c>
      <c r="D23" s="37" t="str">
        <f t="shared" si="2"/>
        <v>042513-4-3</v>
      </c>
      <c r="E23" s="14">
        <f>Entry!D66</f>
        <v>81.221000000000004</v>
      </c>
      <c r="F23" s="14">
        <f>Entry!F66</f>
        <v>12.942500000000001</v>
      </c>
      <c r="G23" s="14">
        <f>Entry!G66</f>
        <v>0</v>
      </c>
      <c r="H23" s="14">
        <f>Entry!H66</f>
        <v>1.625</v>
      </c>
      <c r="I23" s="14">
        <f>Entry!I66</f>
        <v>0.3075</v>
      </c>
      <c r="J23" s="14">
        <f>Entry!E66</f>
        <v>753.81273999999996</v>
      </c>
      <c r="K23" s="38">
        <f t="shared" si="0"/>
        <v>0.22375980485585376</v>
      </c>
      <c r="L23" s="83">
        <v>0</v>
      </c>
      <c r="M23" s="40">
        <f t="shared" si="1"/>
        <v>0</v>
      </c>
      <c r="N23" s="39">
        <f>Entry!M66</f>
        <v>1883</v>
      </c>
    </row>
    <row r="24" spans="1:14">
      <c r="A24" s="77" t="str">
        <f>Entry!A66</f>
        <v>042513-4</v>
      </c>
      <c r="B24" s="42"/>
      <c r="C24" s="37">
        <v>4</v>
      </c>
      <c r="D24" s="37" t="str">
        <f t="shared" si="2"/>
        <v>042513-4-4</v>
      </c>
      <c r="E24" s="14">
        <f>Entry!D67</f>
        <v>93.4191</v>
      </c>
      <c r="F24" s="14">
        <f>Entry!F67</f>
        <v>4.8723999999999998</v>
      </c>
      <c r="G24" s="14">
        <f>Entry!G67</f>
        <v>0</v>
      </c>
      <c r="H24" s="14">
        <f>Entry!H67</f>
        <v>0.61750000000000005</v>
      </c>
      <c r="I24" s="14">
        <f>Entry!I67</f>
        <v>0.68869999999999998</v>
      </c>
      <c r="J24" s="14">
        <f>Entry!E67</f>
        <v>2615.2914999999998</v>
      </c>
      <c r="K24" s="38">
        <f t="shared" si="0"/>
        <v>0.77631629797232271</v>
      </c>
      <c r="L24" s="83">
        <v>1892.8</v>
      </c>
      <c r="M24" s="40">
        <f t="shared" si="1"/>
        <v>1.5800123535505508</v>
      </c>
      <c r="N24" s="39">
        <f>Entry!M67</f>
        <v>1892.8</v>
      </c>
    </row>
    <row r="25" spans="1:14">
      <c r="A25" s="77" t="str">
        <f>Entry!A66</f>
        <v>042513-4</v>
      </c>
      <c r="B25" s="43"/>
      <c r="C25" s="37">
        <v>5</v>
      </c>
      <c r="D25" s="37" t="str">
        <f>CONCATENATE(A25,"-",C25)</f>
        <v>042513-4-5</v>
      </c>
      <c r="E25" s="14">
        <f>Entry!D68</f>
        <v>96.265900000000002</v>
      </c>
      <c r="F25" s="14">
        <f>Entry!F68</f>
        <v>1.3994</v>
      </c>
      <c r="G25" s="14">
        <f>Entry!G68</f>
        <v>0</v>
      </c>
      <c r="H25" s="14">
        <f>Entry!H68</f>
        <v>0.3453</v>
      </c>
      <c r="I25" s="14">
        <f>Entry!I68</f>
        <v>1.7065999999999999</v>
      </c>
      <c r="J25" s="14">
        <f>Entry!E68</f>
        <v>3545.0070799999999</v>
      </c>
      <c r="K25" s="38">
        <f t="shared" si="0"/>
        <v>1.0522906424126235</v>
      </c>
      <c r="L25" s="83">
        <v>1901.2</v>
      </c>
      <c r="M25" s="40">
        <f t="shared" si="1"/>
        <v>2.1511988917794405</v>
      </c>
      <c r="N25" s="39">
        <f>Entry!M68</f>
        <v>1901.2</v>
      </c>
    </row>
    <row r="26" spans="1:14">
      <c r="A26" s="77" t="str">
        <f>Entry!A66</f>
        <v>042513-4</v>
      </c>
      <c r="B26" s="43"/>
      <c r="C26" s="37">
        <v>6</v>
      </c>
      <c r="D26" s="37" t="str">
        <f t="shared" si="2"/>
        <v>042513-4-6</v>
      </c>
      <c r="E26" s="14">
        <f>Entry!D69</f>
        <v>96.002099999999999</v>
      </c>
      <c r="F26" s="14">
        <f>Entry!F69</f>
        <v>3.0969000000000002</v>
      </c>
      <c r="G26" s="14">
        <f>Entry!G69</f>
        <v>0</v>
      </c>
      <c r="H26" s="14">
        <f>Entry!H69</f>
        <v>0</v>
      </c>
      <c r="I26" s="14">
        <f>Entry!I69</f>
        <v>0.90100000000000002</v>
      </c>
      <c r="J26" s="14">
        <f>Entry!E69</f>
        <v>1067.81348</v>
      </c>
      <c r="K26" s="38">
        <f t="shared" si="0"/>
        <v>0.31696696437798344</v>
      </c>
      <c r="L26" s="83">
        <v>0</v>
      </c>
      <c r="M26" s="40">
        <f t="shared" si="1"/>
        <v>0</v>
      </c>
      <c r="N26" s="39">
        <f>Entry!M69</f>
        <v>1921.4</v>
      </c>
    </row>
    <row r="27" spans="1:14">
      <c r="A27" s="77" t="str">
        <f>Entry!A66</f>
        <v>042513-4</v>
      </c>
      <c r="B27" s="43"/>
      <c r="C27" s="37">
        <v>7</v>
      </c>
      <c r="D27" s="37" t="str">
        <f t="shared" si="2"/>
        <v>042513-4-7</v>
      </c>
      <c r="E27" s="14">
        <f>Entry!D70</f>
        <v>97.194900000000004</v>
      </c>
      <c r="F27" s="14">
        <f>Entry!F70</f>
        <v>1.6396999999999999</v>
      </c>
      <c r="G27" s="14">
        <f>Entry!G70</f>
        <v>0</v>
      </c>
      <c r="H27" s="14">
        <f>Entry!H70</f>
        <v>0</v>
      </c>
      <c r="I27" s="14">
        <f>Entry!I70</f>
        <v>1.0738000000000001</v>
      </c>
      <c r="J27" s="14">
        <f>Entry!E70</f>
        <v>1740.0201400000001</v>
      </c>
      <c r="K27" s="38">
        <f t="shared" si="0"/>
        <v>0.51650303359380134</v>
      </c>
      <c r="L27" s="83">
        <v>1943.2</v>
      </c>
      <c r="M27" s="40">
        <f t="shared" si="1"/>
        <v>1.0792136504080372</v>
      </c>
      <c r="N27" s="39">
        <f>Entry!M70</f>
        <v>1943.2</v>
      </c>
    </row>
    <row r="28" spans="1:14">
      <c r="A28" s="77" t="str">
        <f>Entry!A66</f>
        <v>042513-4</v>
      </c>
      <c r="B28" s="43"/>
      <c r="C28" s="37">
        <v>8</v>
      </c>
      <c r="D28" s="37" t="str">
        <f t="shared" si="2"/>
        <v>042513-4-8</v>
      </c>
      <c r="E28" s="14">
        <f>Entry!D71</f>
        <v>89.352800000000002</v>
      </c>
      <c r="F28" s="14">
        <f>Entry!F71</f>
        <v>0</v>
      </c>
      <c r="G28" s="14">
        <f>Entry!G71</f>
        <v>1.6165</v>
      </c>
      <c r="H28" s="14">
        <f>Entry!H71</f>
        <v>1.9841</v>
      </c>
      <c r="I28" s="14">
        <f>Entry!I71</f>
        <v>4.2685000000000004</v>
      </c>
      <c r="J28" s="14">
        <f>Entry!E71</f>
        <v>2262.8833</v>
      </c>
      <c r="K28" s="38">
        <f t="shared" si="0"/>
        <v>0.67170836834035252</v>
      </c>
      <c r="L28" s="83">
        <v>1891.5</v>
      </c>
      <c r="M28" s="40">
        <f t="shared" si="1"/>
        <v>1.3661681491567492</v>
      </c>
      <c r="N28" s="39">
        <f>Entry!M71</f>
        <v>1891.5</v>
      </c>
    </row>
    <row r="29" spans="1:14">
      <c r="A29" s="78" t="str">
        <f>Entry!A66</f>
        <v>042513-4</v>
      </c>
      <c r="B29" s="44"/>
      <c r="C29" s="37">
        <v>9</v>
      </c>
      <c r="D29" s="37" t="str">
        <f t="shared" si="2"/>
        <v>042513-4-9</v>
      </c>
      <c r="E29" s="14">
        <f>Entry!D72</f>
        <v>83.653099999999995</v>
      </c>
      <c r="F29" s="14">
        <f>Entry!F72</f>
        <v>0</v>
      </c>
      <c r="G29" s="14">
        <f>Entry!G72</f>
        <v>1.3939999999999999</v>
      </c>
      <c r="H29" s="14">
        <f>Entry!H72</f>
        <v>2.8319000000000001</v>
      </c>
      <c r="I29" s="14">
        <f>Entry!I72</f>
        <v>6.2183999999999999</v>
      </c>
      <c r="J29" s="14">
        <f>Entry!E72</f>
        <v>328.81081999999998</v>
      </c>
      <c r="K29" s="38">
        <f t="shared" si="0"/>
        <v>9.7603344986837523E-2</v>
      </c>
      <c r="L29" s="83">
        <v>0</v>
      </c>
      <c r="M29" s="40">
        <f t="shared" si="1"/>
        <v>0</v>
      </c>
      <c r="N29" s="39">
        <f>Entry!M72</f>
        <v>1948.9</v>
      </c>
    </row>
    <row r="30" spans="1:14">
      <c r="A30" s="76" t="str">
        <f>Entry!A77</f>
        <v>042513-5</v>
      </c>
      <c r="B30" s="36">
        <f>Entry!B77</f>
        <v>2419.1583633333335</v>
      </c>
      <c r="C30" s="37">
        <v>3</v>
      </c>
      <c r="D30" s="37" t="str">
        <f t="shared" si="2"/>
        <v>042513-5-3</v>
      </c>
      <c r="E30" s="14">
        <f>Entry!D77</f>
        <v>82.733699999999999</v>
      </c>
      <c r="F30" s="14">
        <f>Entry!F77</f>
        <v>12.066599999999999</v>
      </c>
      <c r="G30" s="14">
        <f>Entry!G77</f>
        <v>0</v>
      </c>
      <c r="H30" s="14">
        <f>Entry!H77</f>
        <v>1.8673</v>
      </c>
      <c r="I30" s="14">
        <f>Entry!I77</f>
        <v>0.54869999999999997</v>
      </c>
      <c r="J30" s="14">
        <f>Entry!E77</f>
        <v>887.68957999999998</v>
      </c>
      <c r="K30" s="38">
        <f t="shared" si="0"/>
        <v>0.26349945636813565</v>
      </c>
      <c r="L30" s="83">
        <v>0</v>
      </c>
      <c r="M30" s="40">
        <f t="shared" si="1"/>
        <v>0</v>
      </c>
      <c r="N30" s="39">
        <f>Entry!M77</f>
        <v>1899</v>
      </c>
    </row>
    <row r="31" spans="1:14">
      <c r="A31" s="77" t="str">
        <f>Entry!A77</f>
        <v>042513-5</v>
      </c>
      <c r="B31" s="42"/>
      <c r="C31" s="37">
        <v>4</v>
      </c>
      <c r="D31" s="37" t="str">
        <f t="shared" si="2"/>
        <v>042513-5-4</v>
      </c>
      <c r="E31" s="14">
        <f>Entry!D78</f>
        <v>94.404600000000002</v>
      </c>
      <c r="F31" s="14">
        <f>Entry!F78</f>
        <v>4.2747999999999999</v>
      </c>
      <c r="G31" s="14">
        <f>Entry!G78</f>
        <v>0</v>
      </c>
      <c r="H31" s="14">
        <f>Entry!H78</f>
        <v>0.54090000000000005</v>
      </c>
      <c r="I31" s="14">
        <f>Entry!I78</f>
        <v>0.61160000000000003</v>
      </c>
      <c r="J31" s="14">
        <f>Entry!E78</f>
        <v>2867.8078599999999</v>
      </c>
      <c r="K31" s="38">
        <f t="shared" si="0"/>
        <v>0.85127259472648809</v>
      </c>
      <c r="L31" s="83">
        <v>1917.4</v>
      </c>
      <c r="M31" s="40">
        <f t="shared" si="1"/>
        <v>1.7550861001382454</v>
      </c>
      <c r="N31" s="39">
        <f>Entry!M78</f>
        <v>1917.4</v>
      </c>
    </row>
    <row r="32" spans="1:14">
      <c r="A32" s="77" t="str">
        <f>Entry!A77</f>
        <v>042513-5</v>
      </c>
      <c r="B32" s="43"/>
      <c r="C32" s="37">
        <v>5</v>
      </c>
      <c r="D32" s="37" t="str">
        <f t="shared" si="2"/>
        <v>042513-5-5</v>
      </c>
      <c r="E32" s="14">
        <f>Entry!D79</f>
        <v>96.294899999999998</v>
      </c>
      <c r="F32" s="14">
        <f>Entry!F79</f>
        <v>1.4735</v>
      </c>
      <c r="G32" s="14">
        <f>Entry!G79</f>
        <v>0</v>
      </c>
      <c r="H32" s="14">
        <f>Entry!H79</f>
        <v>0.33090000000000003</v>
      </c>
      <c r="I32" s="14">
        <f>Entry!I79</f>
        <v>1.7422</v>
      </c>
      <c r="J32" s="14">
        <f>Entry!E79</f>
        <v>3223.21362</v>
      </c>
      <c r="K32" s="38">
        <f t="shared" si="0"/>
        <v>0.95677031223952247</v>
      </c>
      <c r="L32" s="83">
        <v>56.113745999999999</v>
      </c>
      <c r="M32" s="40">
        <f t="shared" si="1"/>
        <v>5.7728996001450809E-2</v>
      </c>
      <c r="N32" s="39">
        <f>Entry!M79</f>
        <v>1928.2</v>
      </c>
    </row>
    <row r="33" spans="1:14">
      <c r="A33" s="77" t="str">
        <f>Entry!A77</f>
        <v>042513-5</v>
      </c>
      <c r="B33" s="43"/>
      <c r="C33" s="37">
        <v>6</v>
      </c>
      <c r="D33" s="37" t="str">
        <f t="shared" si="2"/>
        <v>042513-5-6</v>
      </c>
      <c r="E33" s="14">
        <f>Entry!D80</f>
        <v>95.694199999999995</v>
      </c>
      <c r="F33" s="14">
        <f>Entry!F80</f>
        <v>3.1181000000000001</v>
      </c>
      <c r="G33" s="14">
        <f>Entry!G80</f>
        <v>0</v>
      </c>
      <c r="H33" s="14">
        <f>Entry!H80</f>
        <v>0</v>
      </c>
      <c r="I33" s="14">
        <f>Entry!I80</f>
        <v>1.1877</v>
      </c>
      <c r="J33" s="14">
        <f>Entry!E80</f>
        <v>1083.5351599999999</v>
      </c>
      <c r="K33" s="38">
        <f t="shared" si="0"/>
        <v>0.32163374680568052</v>
      </c>
      <c r="L33" s="83">
        <v>0</v>
      </c>
      <c r="M33" s="40">
        <f t="shared" si="1"/>
        <v>0</v>
      </c>
      <c r="N33" s="39">
        <f>Entry!M80</f>
        <v>1908.5</v>
      </c>
    </row>
    <row r="34" spans="1:14">
      <c r="A34" s="77" t="str">
        <f>Entry!A77</f>
        <v>042513-5</v>
      </c>
      <c r="B34" s="43"/>
      <c r="C34" s="37">
        <v>7</v>
      </c>
      <c r="D34" s="37" t="str">
        <f t="shared" si="2"/>
        <v>042513-5-7</v>
      </c>
      <c r="E34" s="14">
        <f>Entry!D81</f>
        <v>97.267600000000002</v>
      </c>
      <c r="F34" s="14">
        <f>Entry!F81</f>
        <v>1.5215000000000001</v>
      </c>
      <c r="G34" s="14">
        <f>Entry!G81</f>
        <v>0</v>
      </c>
      <c r="H34" s="14">
        <f>Entry!H81</f>
        <v>0</v>
      </c>
      <c r="I34" s="14">
        <f>Entry!I81</f>
        <v>1.1535</v>
      </c>
      <c r="J34" s="14">
        <f>Entry!E81</f>
        <v>1901.0349100000001</v>
      </c>
      <c r="K34" s="38">
        <f t="shared" si="0"/>
        <v>0.56429823736564277</v>
      </c>
      <c r="L34" s="83">
        <v>1897.6</v>
      </c>
      <c r="M34" s="40">
        <f t="shared" si="1"/>
        <v>1.1514111131452083</v>
      </c>
      <c r="N34" s="39">
        <f>Entry!M81</f>
        <v>1897.6</v>
      </c>
    </row>
    <row r="35" spans="1:14">
      <c r="A35" s="77" t="str">
        <f>Entry!A77</f>
        <v>042513-5</v>
      </c>
      <c r="B35" s="43"/>
      <c r="C35" s="37">
        <v>8</v>
      </c>
      <c r="D35" s="37" t="str">
        <f t="shared" si="2"/>
        <v>042513-5-8</v>
      </c>
      <c r="E35" s="14">
        <f>Entry!D82</f>
        <v>88.546899999999994</v>
      </c>
      <c r="F35" s="14">
        <f>Entry!F82</f>
        <v>0.43740000000000001</v>
      </c>
      <c r="G35" s="14">
        <f>Entry!G82</f>
        <v>1.2157</v>
      </c>
      <c r="H35" s="14">
        <f>Entry!H82</f>
        <v>2.1006</v>
      </c>
      <c r="I35" s="14">
        <f>Entry!I82</f>
        <v>4.4379</v>
      </c>
      <c r="J35" s="14">
        <f>Entry!E82</f>
        <v>2146.86499</v>
      </c>
      <c r="K35" s="38">
        <f t="shared" si="0"/>
        <v>0.63726979622852276</v>
      </c>
      <c r="L35" s="83">
        <v>1909.5</v>
      </c>
      <c r="M35" s="40">
        <f t="shared" si="1"/>
        <v>1.3084587912885637</v>
      </c>
      <c r="N35" s="39">
        <f>Entry!M82</f>
        <v>1909.5</v>
      </c>
    </row>
    <row r="36" spans="1:14">
      <c r="A36" s="78" t="str">
        <f>Entry!A77</f>
        <v>042513-5</v>
      </c>
      <c r="B36" s="44"/>
      <c r="C36" s="37">
        <v>9</v>
      </c>
      <c r="D36" s="37" t="str">
        <f t="shared" si="2"/>
        <v>042513-5-9</v>
      </c>
      <c r="E36" s="14">
        <f>Entry!D83</f>
        <v>84.459699999999998</v>
      </c>
      <c r="F36" s="14">
        <f>Entry!F83</f>
        <v>0</v>
      </c>
      <c r="G36" s="14">
        <f>Entry!G83</f>
        <v>2.0310999999999999</v>
      </c>
      <c r="H36" s="14">
        <f>Entry!H83</f>
        <v>3.1194000000000002</v>
      </c>
      <c r="I36" s="14">
        <f>Entry!I83</f>
        <v>6.0338000000000003</v>
      </c>
      <c r="J36" s="14">
        <f>Entry!E83</f>
        <v>258.57772999999997</v>
      </c>
      <c r="K36" s="38">
        <f t="shared" si="0"/>
        <v>7.6755537993254977E-2</v>
      </c>
      <c r="L36" s="83">
        <v>0</v>
      </c>
      <c r="M36" s="40">
        <f t="shared" si="1"/>
        <v>0</v>
      </c>
      <c r="N36" s="39">
        <f>Entry!M83</f>
        <v>1919.8</v>
      </c>
    </row>
    <row r="37" spans="1:14">
      <c r="A37" s="76" t="str">
        <f>Entry!A88</f>
        <v>042513-6</v>
      </c>
      <c r="B37" s="36">
        <f>Entry!B88</f>
        <v>2419.1583633333335</v>
      </c>
      <c r="C37" s="37">
        <v>3</v>
      </c>
      <c r="D37" s="37" t="str">
        <f t="shared" si="2"/>
        <v>042513-6-3</v>
      </c>
      <c r="E37" s="14">
        <f>Entry!D88</f>
        <v>83.030699999999996</v>
      </c>
      <c r="F37" s="14">
        <f>Entry!F88</f>
        <v>11.8218</v>
      </c>
      <c r="G37" s="14">
        <f>Entry!G88</f>
        <v>0</v>
      </c>
      <c r="H37" s="14">
        <f>Entry!H88</f>
        <v>1.6620999999999999</v>
      </c>
      <c r="I37" s="14">
        <f>Entry!I88</f>
        <v>0.55569999999999997</v>
      </c>
      <c r="J37" s="14">
        <f>Entry!E88</f>
        <v>873.78632000000005</v>
      </c>
      <c r="K37" s="38">
        <f t="shared" si="0"/>
        <v>0.25937244898370199</v>
      </c>
      <c r="L37" s="83">
        <v>0</v>
      </c>
      <c r="M37" s="40">
        <f t="shared" si="1"/>
        <v>0</v>
      </c>
      <c r="N37" s="39">
        <f>Entry!M88</f>
        <v>1992.2</v>
      </c>
    </row>
    <row r="38" spans="1:14">
      <c r="A38" s="77" t="str">
        <f>Entry!A88</f>
        <v>042513-6</v>
      </c>
      <c r="B38" s="42"/>
      <c r="C38" s="37">
        <v>4</v>
      </c>
      <c r="D38" s="37" t="str">
        <f t="shared" si="2"/>
        <v>042513-6-4</v>
      </c>
      <c r="E38" s="14">
        <f>Entry!D89</f>
        <v>94.890100000000004</v>
      </c>
      <c r="F38" s="14">
        <f>Entry!F89</f>
        <v>3.8910999999999998</v>
      </c>
      <c r="G38" s="14">
        <f>Entry!G89</f>
        <v>0</v>
      </c>
      <c r="H38" s="14">
        <f>Entry!H89</f>
        <v>0.46729999999999999</v>
      </c>
      <c r="I38" s="14">
        <f>Entry!I89</f>
        <v>0.70479999999999998</v>
      </c>
      <c r="J38" s="14">
        <f>Entry!E89</f>
        <v>2942.7507300000002</v>
      </c>
      <c r="K38" s="38">
        <f t="shared" si="0"/>
        <v>0.87351844051378225</v>
      </c>
      <c r="L38" s="83">
        <v>1994.6</v>
      </c>
      <c r="M38" s="40">
        <f t="shared" si="1"/>
        <v>1.8734622381169783</v>
      </c>
      <c r="N38" s="39">
        <f>Entry!M89</f>
        <v>1994.6</v>
      </c>
    </row>
    <row r="39" spans="1:14">
      <c r="A39" s="77" t="str">
        <f>Entry!A88</f>
        <v>042513-6</v>
      </c>
      <c r="B39" s="43"/>
      <c r="C39" s="37">
        <v>5</v>
      </c>
      <c r="D39" s="37" t="str">
        <f t="shared" si="2"/>
        <v>042513-6-5</v>
      </c>
      <c r="E39" s="14">
        <f>Entry!D90</f>
        <v>95.769000000000005</v>
      </c>
      <c r="F39" s="14">
        <f>Entry!F90</f>
        <v>1.6328</v>
      </c>
      <c r="G39" s="14">
        <f>Entry!G90</f>
        <v>0</v>
      </c>
      <c r="H39" s="14">
        <f>Entry!H90</f>
        <v>0.43519999999999998</v>
      </c>
      <c r="I39" s="14">
        <f>Entry!I90</f>
        <v>1.9267000000000001</v>
      </c>
      <c r="J39" s="14">
        <f>Entry!E90</f>
        <v>2838.0815400000001</v>
      </c>
      <c r="K39" s="38">
        <f t="shared" si="0"/>
        <v>0.84244871153995216</v>
      </c>
      <c r="L39" s="83">
        <v>0</v>
      </c>
      <c r="M39" s="40">
        <f t="shared" si="1"/>
        <v>0</v>
      </c>
      <c r="N39" s="39">
        <f>Entry!M90</f>
        <v>1995</v>
      </c>
    </row>
    <row r="40" spans="1:14">
      <c r="A40" s="77" t="str">
        <f>Entry!A88</f>
        <v>042513-6</v>
      </c>
      <c r="B40" s="43"/>
      <c r="C40" s="37">
        <v>6</v>
      </c>
      <c r="D40" s="37" t="str">
        <f t="shared" si="2"/>
        <v>042513-6-6</v>
      </c>
      <c r="E40" s="14">
        <f>Entry!D91</f>
        <v>96.366799999999998</v>
      </c>
      <c r="F40" s="14">
        <f>Entry!F91</f>
        <v>2.6432000000000002</v>
      </c>
      <c r="G40" s="14">
        <f>Entry!G91</f>
        <v>0</v>
      </c>
      <c r="H40" s="14">
        <f>Entry!H91</f>
        <v>0</v>
      </c>
      <c r="I40" s="14">
        <f>Entry!I91</f>
        <v>0.99</v>
      </c>
      <c r="J40" s="14">
        <f>Entry!E91</f>
        <v>1157.86609</v>
      </c>
      <c r="K40" s="38">
        <f t="shared" si="0"/>
        <v>0.34369794592170255</v>
      </c>
      <c r="L40" s="83">
        <v>0</v>
      </c>
      <c r="M40" s="40">
        <f t="shared" si="1"/>
        <v>0</v>
      </c>
      <c r="N40" s="39">
        <f>Entry!M91</f>
        <v>1975.9</v>
      </c>
    </row>
    <row r="41" spans="1:14">
      <c r="A41" s="77" t="str">
        <f>Entry!A88</f>
        <v>042513-6</v>
      </c>
      <c r="B41" s="43"/>
      <c r="C41" s="37">
        <v>7</v>
      </c>
      <c r="D41" s="37" t="str">
        <f t="shared" si="2"/>
        <v>042513-6-7</v>
      </c>
      <c r="E41" s="14">
        <f>Entry!D92</f>
        <v>94.217399999999998</v>
      </c>
      <c r="F41" s="14">
        <f>Entry!F92</f>
        <v>0.74039999999999995</v>
      </c>
      <c r="G41" s="14">
        <f>Entry!G92</f>
        <v>0.73180000000000001</v>
      </c>
      <c r="H41" s="14">
        <f>Entry!H92</f>
        <v>0.9788</v>
      </c>
      <c r="I41" s="14">
        <f>Entry!I92</f>
        <v>2.5855999999999999</v>
      </c>
      <c r="J41" s="14">
        <f>Entry!E92</f>
        <v>2386.2575700000002</v>
      </c>
      <c r="K41" s="38">
        <f t="shared" si="0"/>
        <v>0.70833046440552849</v>
      </c>
      <c r="L41" s="83">
        <v>2006.1</v>
      </c>
      <c r="M41" s="40">
        <f t="shared" si="1"/>
        <v>1.5279373598321833</v>
      </c>
      <c r="N41" s="39">
        <f>Entry!M92</f>
        <v>2006.1</v>
      </c>
    </row>
    <row r="42" spans="1:14">
      <c r="A42" s="77" t="str">
        <f>Entry!A88</f>
        <v>042513-6</v>
      </c>
      <c r="B42" s="43"/>
      <c r="C42" s="37">
        <v>8</v>
      </c>
      <c r="D42" s="37" t="str">
        <f t="shared" si="2"/>
        <v>042513-6-8</v>
      </c>
      <c r="E42" s="14">
        <f>Entry!D93</f>
        <v>85.248599999999996</v>
      </c>
      <c r="F42" s="14">
        <f>Entry!F93</f>
        <v>0</v>
      </c>
      <c r="G42" s="14">
        <f>Entry!G93</f>
        <v>1.8214999999999999</v>
      </c>
      <c r="H42" s="14">
        <f>Entry!H93</f>
        <v>2.871</v>
      </c>
      <c r="I42" s="14">
        <f>Entry!I93</f>
        <v>5.7309000000000001</v>
      </c>
      <c r="J42" s="14">
        <f>Entry!E93</f>
        <v>1303.60193</v>
      </c>
      <c r="K42" s="38">
        <f t="shared" si="0"/>
        <v>0.38695779201942693</v>
      </c>
      <c r="L42" s="83">
        <v>0</v>
      </c>
      <c r="M42" s="40">
        <f t="shared" si="1"/>
        <v>0</v>
      </c>
      <c r="N42" s="39">
        <f>Entry!M93</f>
        <v>1912.6</v>
      </c>
    </row>
    <row r="43" spans="1:14">
      <c r="A43" s="77" t="str">
        <f>Entry!A88</f>
        <v>042513-6</v>
      </c>
      <c r="B43" s="44"/>
      <c r="C43" s="37">
        <v>9</v>
      </c>
      <c r="D43" s="37" t="str">
        <f t="shared" si="2"/>
        <v>042513-6-9</v>
      </c>
      <c r="E43" s="14">
        <f>Entry!D94</f>
        <v>79.758899999999997</v>
      </c>
      <c r="F43" s="14">
        <f>Entry!F94</f>
        <v>0</v>
      </c>
      <c r="G43" s="14">
        <f>Entry!G94</f>
        <v>0</v>
      </c>
      <c r="H43" s="14">
        <f>Entry!H94</f>
        <v>1.8708</v>
      </c>
      <c r="I43" s="14">
        <f>Entry!I94</f>
        <v>6.6817000000000002</v>
      </c>
      <c r="J43" s="14">
        <f>Entry!E94</f>
        <v>141.50721999999999</v>
      </c>
      <c r="K43" s="38">
        <f t="shared" si="0"/>
        <v>4.2004633581669587E-2</v>
      </c>
      <c r="L43" s="83">
        <v>1507.8</v>
      </c>
      <c r="M43" s="40">
        <f t="shared" si="1"/>
        <v>6.8101705929506873E-2</v>
      </c>
      <c r="N43" s="39">
        <f>Entry!M94</f>
        <v>1507.8</v>
      </c>
    </row>
    <row r="45" spans="1:14">
      <c r="A45" s="192" t="s">
        <v>61</v>
      </c>
      <c r="B45" s="192"/>
      <c r="C45" s="73"/>
      <c r="D45" s="73"/>
      <c r="E45" s="69" t="s">
        <v>60</v>
      </c>
      <c r="F45" s="69" t="s">
        <v>54</v>
      </c>
      <c r="G45" s="69" t="s">
        <v>55</v>
      </c>
      <c r="H45" s="69" t="s">
        <v>56</v>
      </c>
      <c r="I45" s="69" t="s">
        <v>57</v>
      </c>
    </row>
    <row r="46" spans="1:14">
      <c r="A46" s="191" t="s">
        <v>58</v>
      </c>
      <c r="B46" s="191"/>
      <c r="E46" s="69">
        <f>Entry!B113</f>
        <v>91</v>
      </c>
      <c r="F46" s="69">
        <f>Entry!C113</f>
        <v>0</v>
      </c>
      <c r="G46" s="69">
        <f>Entry!D113</f>
        <v>0</v>
      </c>
      <c r="H46" s="69">
        <f>Entry!E113</f>
        <v>0</v>
      </c>
      <c r="I46" s="69">
        <f>Entry!F113</f>
        <v>0</v>
      </c>
    </row>
    <row r="47" spans="1:14">
      <c r="A47" s="191" t="s">
        <v>59</v>
      </c>
      <c r="B47" s="191"/>
      <c r="E47" s="69">
        <f>Entry!B114</f>
        <v>92.5</v>
      </c>
      <c r="F47" s="69">
        <f>Entry!C114</f>
        <v>2.2490000000000001</v>
      </c>
      <c r="G47" s="69">
        <f>Entry!D114</f>
        <v>2.2490000000000001</v>
      </c>
      <c r="H47" s="69">
        <f>Entry!E114</f>
        <v>3.5</v>
      </c>
      <c r="I47" s="69">
        <f>Entry!F114</f>
        <v>2.2490000000000001</v>
      </c>
    </row>
    <row r="49" spans="1:12">
      <c r="A49" s="179" t="s">
        <v>18</v>
      </c>
      <c r="B49" s="178"/>
      <c r="C49" s="72">
        <f>Entry!C23</f>
        <v>36.659999999999997</v>
      </c>
      <c r="D49" s="72"/>
    </row>
    <row r="50" spans="1:12">
      <c r="A50" s="179" t="s">
        <v>2</v>
      </c>
      <c r="B50" s="178"/>
      <c r="C50">
        <f>Entry!A6</f>
        <v>0.71299999999999997</v>
      </c>
    </row>
    <row r="51" spans="1:12">
      <c r="A51" s="35"/>
      <c r="B51" s="75"/>
    </row>
    <row r="52" spans="1:12">
      <c r="A52" s="192" t="s">
        <v>63</v>
      </c>
      <c r="B52" s="192"/>
      <c r="E52" s="74">
        <f>SUMPRODUCT(E2:E43,'Organized Data'!$L2:$L43)/SUM($L2:$L43)</f>
        <v>92.499999998124707</v>
      </c>
      <c r="F52" s="72">
        <f>SUMPRODUCT(F2:F43,'Organized Data'!$L2:$L43)/SUM($L2:$L43)</f>
        <v>2.2490000002076909</v>
      </c>
      <c r="G52" s="72">
        <f>SUMPRODUCT(G2:G43,'Organized Data'!$L2:$L43)/SUM($L2:$L43)</f>
        <v>0.45375348324043929</v>
      </c>
      <c r="H52" s="72">
        <f>SUMPRODUCT(H2:H43,'Organized Data'!$L2:$L43)/SUM($L2:$L43)</f>
        <v>0.98420551274585211</v>
      </c>
      <c r="I52" s="72">
        <f>SUMPRODUCT(I2:I43,'Organized Data'!$L2:$L43)/SUM($L2:$L43)</f>
        <v>2.2490000004295219</v>
      </c>
      <c r="K52" s="96">
        <f>SUM(K2:K43)</f>
        <v>21.098080863092381</v>
      </c>
      <c r="L52" s="74">
        <f>SUM(L2:L43)</f>
        <v>38769.198495999997</v>
      </c>
    </row>
  </sheetData>
  <mergeCells count="6">
    <mergeCell ref="A46:B46"/>
    <mergeCell ref="A47:B47"/>
    <mergeCell ref="A45:B45"/>
    <mergeCell ref="A52:B52"/>
    <mergeCell ref="A49:B49"/>
    <mergeCell ref="A50:B5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W36"/>
  <sheetViews>
    <sheetView workbookViewId="0">
      <selection activeCell="A35" sqref="A35"/>
    </sheetView>
  </sheetViews>
  <sheetFormatPr defaultRowHeight="15"/>
  <cols>
    <col min="1" max="1" width="19.28515625" customWidth="1"/>
  </cols>
  <sheetData>
    <row r="1" spans="1:23">
      <c r="A1" s="70"/>
      <c r="B1" s="93" t="s">
        <v>60</v>
      </c>
      <c r="C1" s="93" t="s">
        <v>54</v>
      </c>
      <c r="D1" s="93" t="s">
        <v>55</v>
      </c>
      <c r="E1" s="93" t="s">
        <v>56</v>
      </c>
      <c r="F1" s="100" t="s">
        <v>57</v>
      </c>
      <c r="G1" s="103" t="s">
        <v>80</v>
      </c>
      <c r="H1" s="102"/>
    </row>
    <row r="2" spans="1:23">
      <c r="A2" s="70" t="s">
        <v>58</v>
      </c>
      <c r="B2" s="93">
        <v>91</v>
      </c>
      <c r="C2" s="93">
        <v>0</v>
      </c>
      <c r="D2" s="93">
        <v>0</v>
      </c>
      <c r="E2" s="93">
        <v>0</v>
      </c>
      <c r="F2" s="100">
        <v>0</v>
      </c>
      <c r="G2" s="104">
        <f>Entry!G113</f>
        <v>27</v>
      </c>
    </row>
    <row r="3" spans="1:23">
      <c r="A3" s="70" t="s">
        <v>59</v>
      </c>
      <c r="B3" s="93">
        <v>92.5</v>
      </c>
      <c r="C3" s="93">
        <v>2.2000000000000002</v>
      </c>
      <c r="D3" s="93">
        <v>2.2000000000000002</v>
      </c>
      <c r="E3" s="93">
        <v>3.5</v>
      </c>
      <c r="F3" s="100">
        <v>2.2000000000000002</v>
      </c>
      <c r="G3" s="104"/>
    </row>
    <row r="5" spans="1:23">
      <c r="A5" s="94" t="s">
        <v>67</v>
      </c>
      <c r="B5">
        <v>91.5</v>
      </c>
    </row>
    <row r="6" spans="1:23">
      <c r="A6" s="94" t="s">
        <v>68</v>
      </c>
      <c r="B6">
        <f>Entry!D108</f>
        <v>92.5</v>
      </c>
      <c r="C6">
        <f>Entry!H107</f>
        <v>2.2000000000000002</v>
      </c>
      <c r="D6">
        <f>Entry!I107</f>
        <v>0.5</v>
      </c>
      <c r="E6">
        <f>Entry!J107</f>
        <v>1</v>
      </c>
      <c r="F6">
        <f>Entry!K107</f>
        <v>2.2999999999999998</v>
      </c>
      <c r="G6" s="74">
        <f>Entry!E107</f>
        <v>26.880653395272521</v>
      </c>
    </row>
    <row r="8" spans="1:23">
      <c r="A8" s="93" t="s">
        <v>60</v>
      </c>
    </row>
    <row r="9" spans="1:23">
      <c r="A9" s="94" t="s">
        <v>68</v>
      </c>
      <c r="B9">
        <f>$B$6</f>
        <v>92.5</v>
      </c>
      <c r="C9" s="92">
        <f t="shared" ref="C9:W9" si="0">$B$6</f>
        <v>92.5</v>
      </c>
      <c r="D9" s="92">
        <f t="shared" si="0"/>
        <v>92.5</v>
      </c>
      <c r="E9" s="92">
        <f t="shared" si="0"/>
        <v>92.5</v>
      </c>
      <c r="F9" s="92">
        <f t="shared" si="0"/>
        <v>92.5</v>
      </c>
      <c r="G9" s="92">
        <f t="shared" si="0"/>
        <v>92.5</v>
      </c>
      <c r="H9" s="92">
        <f t="shared" si="0"/>
        <v>92.5</v>
      </c>
      <c r="I9" s="92">
        <f t="shared" si="0"/>
        <v>92.5</v>
      </c>
      <c r="J9" s="92">
        <f t="shared" si="0"/>
        <v>92.5</v>
      </c>
      <c r="K9" s="92">
        <f t="shared" si="0"/>
        <v>92.5</v>
      </c>
      <c r="L9" s="92">
        <f t="shared" si="0"/>
        <v>92.5</v>
      </c>
      <c r="M9" s="92">
        <f t="shared" si="0"/>
        <v>92.5</v>
      </c>
      <c r="N9" s="92">
        <f t="shared" si="0"/>
        <v>92.5</v>
      </c>
      <c r="O9" s="92">
        <f t="shared" si="0"/>
        <v>92.5</v>
      </c>
      <c r="P9" s="92">
        <f t="shared" si="0"/>
        <v>92.5</v>
      </c>
      <c r="Q9" s="92">
        <f t="shared" si="0"/>
        <v>92.5</v>
      </c>
      <c r="R9" s="92">
        <f t="shared" si="0"/>
        <v>92.5</v>
      </c>
      <c r="S9" s="92">
        <f t="shared" si="0"/>
        <v>92.5</v>
      </c>
      <c r="T9" s="92">
        <f t="shared" si="0"/>
        <v>92.5</v>
      </c>
      <c r="U9" s="92">
        <f t="shared" si="0"/>
        <v>92.5</v>
      </c>
      <c r="V9" s="92">
        <f t="shared" si="0"/>
        <v>92.5</v>
      </c>
      <c r="W9" s="92">
        <f t="shared" si="0"/>
        <v>92.5</v>
      </c>
    </row>
    <row r="10" spans="1:23">
      <c r="A10" s="94" t="s">
        <v>70</v>
      </c>
      <c r="B10" s="92">
        <f>$B$2</f>
        <v>91</v>
      </c>
      <c r="C10" s="92">
        <f t="shared" ref="C10:W10" si="1">$B$2</f>
        <v>91</v>
      </c>
      <c r="D10" s="92">
        <f t="shared" si="1"/>
        <v>91</v>
      </c>
      <c r="E10" s="92">
        <f t="shared" si="1"/>
        <v>91</v>
      </c>
      <c r="F10" s="92">
        <f t="shared" si="1"/>
        <v>91</v>
      </c>
      <c r="G10" s="92">
        <f t="shared" si="1"/>
        <v>91</v>
      </c>
      <c r="H10" s="92">
        <f t="shared" si="1"/>
        <v>91</v>
      </c>
      <c r="I10" s="92">
        <f t="shared" si="1"/>
        <v>91</v>
      </c>
      <c r="J10" s="92">
        <f t="shared" si="1"/>
        <v>91</v>
      </c>
      <c r="K10" s="92">
        <f t="shared" si="1"/>
        <v>91</v>
      </c>
      <c r="L10" s="92">
        <f t="shared" si="1"/>
        <v>91</v>
      </c>
      <c r="M10" s="92">
        <f t="shared" si="1"/>
        <v>91</v>
      </c>
      <c r="N10" s="92">
        <f t="shared" si="1"/>
        <v>91</v>
      </c>
      <c r="O10" s="92">
        <f t="shared" si="1"/>
        <v>91</v>
      </c>
      <c r="P10" s="92">
        <f t="shared" si="1"/>
        <v>91</v>
      </c>
      <c r="Q10" s="92">
        <f t="shared" si="1"/>
        <v>91</v>
      </c>
      <c r="R10" s="92">
        <f t="shared" si="1"/>
        <v>91</v>
      </c>
      <c r="S10" s="92">
        <f t="shared" si="1"/>
        <v>91</v>
      </c>
      <c r="T10" s="92">
        <f t="shared" si="1"/>
        <v>91</v>
      </c>
      <c r="U10" s="92">
        <f t="shared" si="1"/>
        <v>91</v>
      </c>
      <c r="V10" s="92">
        <f t="shared" si="1"/>
        <v>91</v>
      </c>
      <c r="W10" s="92">
        <f t="shared" si="1"/>
        <v>91</v>
      </c>
    </row>
    <row r="11" spans="1:23">
      <c r="A11" s="94" t="s">
        <v>69</v>
      </c>
      <c r="B11" s="92">
        <f>$B$3</f>
        <v>92.5</v>
      </c>
      <c r="C11" s="92">
        <f t="shared" ref="C11:W11" si="2">$B$3</f>
        <v>92.5</v>
      </c>
      <c r="D11" s="92">
        <f t="shared" si="2"/>
        <v>92.5</v>
      </c>
      <c r="E11" s="92">
        <f t="shared" si="2"/>
        <v>92.5</v>
      </c>
      <c r="F11" s="92">
        <f t="shared" si="2"/>
        <v>92.5</v>
      </c>
      <c r="G11" s="92">
        <f t="shared" si="2"/>
        <v>92.5</v>
      </c>
      <c r="H11" s="92">
        <f t="shared" si="2"/>
        <v>92.5</v>
      </c>
      <c r="I11" s="92">
        <f t="shared" si="2"/>
        <v>92.5</v>
      </c>
      <c r="J11" s="92">
        <f t="shared" si="2"/>
        <v>92.5</v>
      </c>
      <c r="K11" s="92">
        <f t="shared" si="2"/>
        <v>92.5</v>
      </c>
      <c r="L11" s="92">
        <f t="shared" si="2"/>
        <v>92.5</v>
      </c>
      <c r="M11" s="92">
        <f t="shared" si="2"/>
        <v>92.5</v>
      </c>
      <c r="N11" s="92">
        <f t="shared" si="2"/>
        <v>92.5</v>
      </c>
      <c r="O11" s="92">
        <f t="shared" si="2"/>
        <v>92.5</v>
      </c>
      <c r="P11" s="92">
        <f t="shared" si="2"/>
        <v>92.5</v>
      </c>
      <c r="Q11" s="92">
        <f t="shared" si="2"/>
        <v>92.5</v>
      </c>
      <c r="R11" s="92">
        <f t="shared" si="2"/>
        <v>92.5</v>
      </c>
      <c r="S11" s="92">
        <f t="shared" si="2"/>
        <v>92.5</v>
      </c>
      <c r="T11" s="92">
        <f t="shared" si="2"/>
        <v>92.5</v>
      </c>
      <c r="U11" s="92">
        <f t="shared" si="2"/>
        <v>92.5</v>
      </c>
      <c r="V11" s="92">
        <f t="shared" si="2"/>
        <v>92.5</v>
      </c>
      <c r="W11" s="92">
        <f t="shared" si="2"/>
        <v>92.5</v>
      </c>
    </row>
    <row r="12" spans="1:23">
      <c r="A12" s="94" t="s">
        <v>71</v>
      </c>
      <c r="B12" s="92">
        <f>$B$5</f>
        <v>91.5</v>
      </c>
      <c r="C12" s="92">
        <f t="shared" ref="C12:W12" si="3">$B$5</f>
        <v>91.5</v>
      </c>
      <c r="D12" s="92">
        <f t="shared" si="3"/>
        <v>91.5</v>
      </c>
      <c r="E12" s="92">
        <f t="shared" si="3"/>
        <v>91.5</v>
      </c>
      <c r="F12" s="92">
        <f t="shared" si="3"/>
        <v>91.5</v>
      </c>
      <c r="G12" s="92">
        <f t="shared" si="3"/>
        <v>91.5</v>
      </c>
      <c r="H12" s="92">
        <f t="shared" si="3"/>
        <v>91.5</v>
      </c>
      <c r="I12" s="92">
        <f t="shared" si="3"/>
        <v>91.5</v>
      </c>
      <c r="J12" s="92">
        <f t="shared" si="3"/>
        <v>91.5</v>
      </c>
      <c r="K12" s="92">
        <f t="shared" si="3"/>
        <v>91.5</v>
      </c>
      <c r="L12" s="92">
        <f t="shared" si="3"/>
        <v>91.5</v>
      </c>
      <c r="M12" s="92">
        <f t="shared" si="3"/>
        <v>91.5</v>
      </c>
      <c r="N12" s="92">
        <f t="shared" si="3"/>
        <v>91.5</v>
      </c>
      <c r="O12" s="92">
        <f t="shared" si="3"/>
        <v>91.5</v>
      </c>
      <c r="P12" s="92">
        <f t="shared" si="3"/>
        <v>91.5</v>
      </c>
      <c r="Q12" s="92">
        <f t="shared" si="3"/>
        <v>91.5</v>
      </c>
      <c r="R12" s="92">
        <f t="shared" si="3"/>
        <v>91.5</v>
      </c>
      <c r="S12" s="92">
        <f t="shared" si="3"/>
        <v>91.5</v>
      </c>
      <c r="T12" s="92">
        <f t="shared" si="3"/>
        <v>91.5</v>
      </c>
      <c r="U12" s="92">
        <f t="shared" si="3"/>
        <v>91.5</v>
      </c>
      <c r="V12" s="92">
        <f t="shared" si="3"/>
        <v>91.5</v>
      </c>
      <c r="W12" s="92">
        <f t="shared" si="3"/>
        <v>91.5</v>
      </c>
    </row>
    <row r="14" spans="1:23">
      <c r="A14" s="93" t="s">
        <v>54</v>
      </c>
    </row>
    <row r="15" spans="1:23">
      <c r="A15" s="94" t="s">
        <v>68</v>
      </c>
      <c r="B15" s="92">
        <f>$C$6</f>
        <v>2.2000000000000002</v>
      </c>
      <c r="C15" s="92">
        <f t="shared" ref="C15:W15" si="4">$C$6</f>
        <v>2.2000000000000002</v>
      </c>
      <c r="D15" s="92">
        <f t="shared" si="4"/>
        <v>2.2000000000000002</v>
      </c>
      <c r="E15" s="92">
        <f t="shared" si="4"/>
        <v>2.2000000000000002</v>
      </c>
      <c r="F15" s="92">
        <f t="shared" si="4"/>
        <v>2.2000000000000002</v>
      </c>
      <c r="G15" s="92">
        <f t="shared" si="4"/>
        <v>2.2000000000000002</v>
      </c>
      <c r="H15" s="92">
        <f t="shared" si="4"/>
        <v>2.2000000000000002</v>
      </c>
      <c r="I15" s="92">
        <f t="shared" si="4"/>
        <v>2.2000000000000002</v>
      </c>
      <c r="J15" s="92">
        <f t="shared" si="4"/>
        <v>2.2000000000000002</v>
      </c>
      <c r="K15" s="92">
        <f t="shared" si="4"/>
        <v>2.2000000000000002</v>
      </c>
      <c r="L15" s="92">
        <f t="shared" si="4"/>
        <v>2.2000000000000002</v>
      </c>
      <c r="M15" s="92">
        <f t="shared" si="4"/>
        <v>2.2000000000000002</v>
      </c>
      <c r="N15" s="92">
        <f t="shared" si="4"/>
        <v>2.2000000000000002</v>
      </c>
      <c r="O15" s="92">
        <f t="shared" si="4"/>
        <v>2.2000000000000002</v>
      </c>
      <c r="P15" s="92">
        <f t="shared" si="4"/>
        <v>2.2000000000000002</v>
      </c>
      <c r="Q15" s="92">
        <f t="shared" si="4"/>
        <v>2.2000000000000002</v>
      </c>
      <c r="R15" s="92">
        <f t="shared" si="4"/>
        <v>2.2000000000000002</v>
      </c>
      <c r="S15" s="92">
        <f t="shared" si="4"/>
        <v>2.2000000000000002</v>
      </c>
      <c r="T15" s="92">
        <f t="shared" si="4"/>
        <v>2.2000000000000002</v>
      </c>
      <c r="U15" s="92">
        <f t="shared" si="4"/>
        <v>2.2000000000000002</v>
      </c>
      <c r="V15" s="92">
        <f t="shared" si="4"/>
        <v>2.2000000000000002</v>
      </c>
      <c r="W15" s="92">
        <f t="shared" si="4"/>
        <v>2.2000000000000002</v>
      </c>
    </row>
    <row r="16" spans="1:23">
      <c r="A16" s="94" t="s">
        <v>70</v>
      </c>
      <c r="B16" s="92">
        <f>$C$2</f>
        <v>0</v>
      </c>
      <c r="C16" s="92">
        <f t="shared" ref="C16:W16" si="5">$C$2</f>
        <v>0</v>
      </c>
      <c r="D16" s="92">
        <f t="shared" si="5"/>
        <v>0</v>
      </c>
      <c r="E16" s="92">
        <f t="shared" si="5"/>
        <v>0</v>
      </c>
      <c r="F16" s="92">
        <f t="shared" si="5"/>
        <v>0</v>
      </c>
      <c r="G16" s="92">
        <f t="shared" si="5"/>
        <v>0</v>
      </c>
      <c r="H16" s="92">
        <f t="shared" si="5"/>
        <v>0</v>
      </c>
      <c r="I16" s="92">
        <f t="shared" si="5"/>
        <v>0</v>
      </c>
      <c r="J16" s="92">
        <f t="shared" si="5"/>
        <v>0</v>
      </c>
      <c r="K16" s="92">
        <f t="shared" si="5"/>
        <v>0</v>
      </c>
      <c r="L16" s="92">
        <f t="shared" si="5"/>
        <v>0</v>
      </c>
      <c r="M16" s="92">
        <f t="shared" si="5"/>
        <v>0</v>
      </c>
      <c r="N16" s="92">
        <f t="shared" si="5"/>
        <v>0</v>
      </c>
      <c r="O16" s="92">
        <f t="shared" si="5"/>
        <v>0</v>
      </c>
      <c r="P16" s="92">
        <f t="shared" si="5"/>
        <v>0</v>
      </c>
      <c r="Q16" s="92">
        <f t="shared" si="5"/>
        <v>0</v>
      </c>
      <c r="R16" s="92">
        <f t="shared" si="5"/>
        <v>0</v>
      </c>
      <c r="S16" s="92">
        <f t="shared" si="5"/>
        <v>0</v>
      </c>
      <c r="T16" s="92">
        <f t="shared" si="5"/>
        <v>0</v>
      </c>
      <c r="U16" s="92">
        <f t="shared" si="5"/>
        <v>0</v>
      </c>
      <c r="V16" s="92">
        <f t="shared" si="5"/>
        <v>0</v>
      </c>
      <c r="W16" s="92">
        <f t="shared" si="5"/>
        <v>0</v>
      </c>
    </row>
    <row r="17" spans="1:23">
      <c r="A17" s="94" t="s">
        <v>69</v>
      </c>
      <c r="B17" s="92">
        <f>$C$3</f>
        <v>2.2000000000000002</v>
      </c>
      <c r="C17" s="92">
        <f t="shared" ref="C17:W17" si="6">$C$3</f>
        <v>2.2000000000000002</v>
      </c>
      <c r="D17" s="92">
        <f t="shared" si="6"/>
        <v>2.2000000000000002</v>
      </c>
      <c r="E17" s="92">
        <f t="shared" si="6"/>
        <v>2.2000000000000002</v>
      </c>
      <c r="F17" s="92">
        <f t="shared" si="6"/>
        <v>2.2000000000000002</v>
      </c>
      <c r="G17" s="92">
        <f t="shared" si="6"/>
        <v>2.2000000000000002</v>
      </c>
      <c r="H17" s="92">
        <f t="shared" si="6"/>
        <v>2.2000000000000002</v>
      </c>
      <c r="I17" s="92">
        <f t="shared" si="6"/>
        <v>2.2000000000000002</v>
      </c>
      <c r="J17" s="92">
        <f t="shared" si="6"/>
        <v>2.2000000000000002</v>
      </c>
      <c r="K17" s="92">
        <f t="shared" si="6"/>
        <v>2.2000000000000002</v>
      </c>
      <c r="L17" s="92">
        <f t="shared" si="6"/>
        <v>2.2000000000000002</v>
      </c>
      <c r="M17" s="92">
        <f t="shared" si="6"/>
        <v>2.2000000000000002</v>
      </c>
      <c r="N17" s="92">
        <f t="shared" si="6"/>
        <v>2.2000000000000002</v>
      </c>
      <c r="O17" s="92">
        <f t="shared" si="6"/>
        <v>2.2000000000000002</v>
      </c>
      <c r="P17" s="92">
        <f t="shared" si="6"/>
        <v>2.2000000000000002</v>
      </c>
      <c r="Q17" s="92">
        <f t="shared" si="6"/>
        <v>2.2000000000000002</v>
      </c>
      <c r="R17" s="92">
        <f t="shared" si="6"/>
        <v>2.2000000000000002</v>
      </c>
      <c r="S17" s="92">
        <f t="shared" si="6"/>
        <v>2.2000000000000002</v>
      </c>
      <c r="T17" s="92">
        <f t="shared" si="6"/>
        <v>2.2000000000000002</v>
      </c>
      <c r="U17" s="92">
        <f t="shared" si="6"/>
        <v>2.2000000000000002</v>
      </c>
      <c r="V17" s="92">
        <f t="shared" si="6"/>
        <v>2.2000000000000002</v>
      </c>
      <c r="W17" s="92">
        <f t="shared" si="6"/>
        <v>2.2000000000000002</v>
      </c>
    </row>
    <row r="19" spans="1:23">
      <c r="A19" s="93" t="s">
        <v>55</v>
      </c>
    </row>
    <row r="20" spans="1:23">
      <c r="A20" s="94" t="s">
        <v>68</v>
      </c>
      <c r="B20" s="92">
        <f>$D$6</f>
        <v>0.5</v>
      </c>
      <c r="C20" s="92">
        <f t="shared" ref="C20:W20" si="7">$D$6</f>
        <v>0.5</v>
      </c>
      <c r="D20" s="92">
        <f t="shared" si="7"/>
        <v>0.5</v>
      </c>
      <c r="E20" s="92">
        <f t="shared" si="7"/>
        <v>0.5</v>
      </c>
      <c r="F20" s="92">
        <f t="shared" si="7"/>
        <v>0.5</v>
      </c>
      <c r="G20" s="92">
        <f t="shared" si="7"/>
        <v>0.5</v>
      </c>
      <c r="H20" s="92">
        <f t="shared" si="7"/>
        <v>0.5</v>
      </c>
      <c r="I20" s="92">
        <f t="shared" si="7"/>
        <v>0.5</v>
      </c>
      <c r="J20" s="92">
        <f t="shared" si="7"/>
        <v>0.5</v>
      </c>
      <c r="K20" s="92">
        <f t="shared" si="7"/>
        <v>0.5</v>
      </c>
      <c r="L20" s="92">
        <f t="shared" si="7"/>
        <v>0.5</v>
      </c>
      <c r="M20" s="92">
        <f t="shared" si="7"/>
        <v>0.5</v>
      </c>
      <c r="N20" s="92">
        <f t="shared" si="7"/>
        <v>0.5</v>
      </c>
      <c r="O20" s="92">
        <f t="shared" si="7"/>
        <v>0.5</v>
      </c>
      <c r="P20" s="92">
        <f t="shared" si="7"/>
        <v>0.5</v>
      </c>
      <c r="Q20" s="92">
        <f t="shared" si="7"/>
        <v>0.5</v>
      </c>
      <c r="R20" s="92">
        <f t="shared" si="7"/>
        <v>0.5</v>
      </c>
      <c r="S20" s="92">
        <f t="shared" si="7"/>
        <v>0.5</v>
      </c>
      <c r="T20" s="92">
        <f t="shared" si="7"/>
        <v>0.5</v>
      </c>
      <c r="U20" s="92">
        <f t="shared" si="7"/>
        <v>0.5</v>
      </c>
      <c r="V20" s="92">
        <f t="shared" si="7"/>
        <v>0.5</v>
      </c>
      <c r="W20" s="92">
        <f t="shared" si="7"/>
        <v>0.5</v>
      </c>
    </row>
    <row r="21" spans="1:23">
      <c r="A21" s="94" t="s">
        <v>70</v>
      </c>
      <c r="B21" s="92">
        <f>$D$2</f>
        <v>0</v>
      </c>
      <c r="C21" s="92">
        <f t="shared" ref="C21:W21" si="8">$D$2</f>
        <v>0</v>
      </c>
      <c r="D21" s="92">
        <f t="shared" si="8"/>
        <v>0</v>
      </c>
      <c r="E21" s="92">
        <f t="shared" si="8"/>
        <v>0</v>
      </c>
      <c r="F21" s="92">
        <f t="shared" si="8"/>
        <v>0</v>
      </c>
      <c r="G21" s="92">
        <f t="shared" si="8"/>
        <v>0</v>
      </c>
      <c r="H21" s="92">
        <f t="shared" si="8"/>
        <v>0</v>
      </c>
      <c r="I21" s="92">
        <f t="shared" si="8"/>
        <v>0</v>
      </c>
      <c r="J21" s="92">
        <f t="shared" si="8"/>
        <v>0</v>
      </c>
      <c r="K21" s="92">
        <f t="shared" si="8"/>
        <v>0</v>
      </c>
      <c r="L21" s="92">
        <f t="shared" si="8"/>
        <v>0</v>
      </c>
      <c r="M21" s="92">
        <f t="shared" si="8"/>
        <v>0</v>
      </c>
      <c r="N21" s="92">
        <f t="shared" si="8"/>
        <v>0</v>
      </c>
      <c r="O21" s="92">
        <f t="shared" si="8"/>
        <v>0</v>
      </c>
      <c r="P21" s="92">
        <f t="shared" si="8"/>
        <v>0</v>
      </c>
      <c r="Q21" s="92">
        <f t="shared" si="8"/>
        <v>0</v>
      </c>
      <c r="R21" s="92">
        <f t="shared" si="8"/>
        <v>0</v>
      </c>
      <c r="S21" s="92">
        <f t="shared" si="8"/>
        <v>0</v>
      </c>
      <c r="T21" s="92">
        <f t="shared" si="8"/>
        <v>0</v>
      </c>
      <c r="U21" s="92">
        <f t="shared" si="8"/>
        <v>0</v>
      </c>
      <c r="V21" s="92">
        <f t="shared" si="8"/>
        <v>0</v>
      </c>
      <c r="W21" s="92">
        <f t="shared" si="8"/>
        <v>0</v>
      </c>
    </row>
    <row r="22" spans="1:23">
      <c r="A22" s="94" t="s">
        <v>69</v>
      </c>
      <c r="B22" s="92">
        <f>$D$3</f>
        <v>2.2000000000000002</v>
      </c>
      <c r="C22" s="92">
        <f t="shared" ref="C22:W22" si="9">$D$3</f>
        <v>2.2000000000000002</v>
      </c>
      <c r="D22" s="92">
        <f t="shared" si="9"/>
        <v>2.2000000000000002</v>
      </c>
      <c r="E22" s="92">
        <f t="shared" si="9"/>
        <v>2.2000000000000002</v>
      </c>
      <c r="F22" s="92">
        <f t="shared" si="9"/>
        <v>2.2000000000000002</v>
      </c>
      <c r="G22" s="92">
        <f t="shared" si="9"/>
        <v>2.2000000000000002</v>
      </c>
      <c r="H22" s="92">
        <f t="shared" si="9"/>
        <v>2.2000000000000002</v>
      </c>
      <c r="I22" s="92">
        <f t="shared" si="9"/>
        <v>2.2000000000000002</v>
      </c>
      <c r="J22" s="92">
        <f t="shared" si="9"/>
        <v>2.2000000000000002</v>
      </c>
      <c r="K22" s="92">
        <f t="shared" si="9"/>
        <v>2.2000000000000002</v>
      </c>
      <c r="L22" s="92">
        <f t="shared" si="9"/>
        <v>2.2000000000000002</v>
      </c>
      <c r="M22" s="92">
        <f t="shared" si="9"/>
        <v>2.2000000000000002</v>
      </c>
      <c r="N22" s="92">
        <f t="shared" si="9"/>
        <v>2.2000000000000002</v>
      </c>
      <c r="O22" s="92">
        <f t="shared" si="9"/>
        <v>2.2000000000000002</v>
      </c>
      <c r="P22" s="92">
        <f t="shared" si="9"/>
        <v>2.2000000000000002</v>
      </c>
      <c r="Q22" s="92">
        <f t="shared" si="9"/>
        <v>2.2000000000000002</v>
      </c>
      <c r="R22" s="92">
        <f t="shared" si="9"/>
        <v>2.2000000000000002</v>
      </c>
      <c r="S22" s="92">
        <f t="shared" si="9"/>
        <v>2.2000000000000002</v>
      </c>
      <c r="T22" s="92">
        <f t="shared" si="9"/>
        <v>2.2000000000000002</v>
      </c>
      <c r="U22" s="92">
        <f t="shared" si="9"/>
        <v>2.2000000000000002</v>
      </c>
      <c r="V22" s="92">
        <f t="shared" si="9"/>
        <v>2.2000000000000002</v>
      </c>
      <c r="W22" s="92">
        <f t="shared" si="9"/>
        <v>2.2000000000000002</v>
      </c>
    </row>
    <row r="24" spans="1:23" s="92" customFormat="1">
      <c r="A24" s="93" t="s">
        <v>56</v>
      </c>
    </row>
    <row r="25" spans="1:23">
      <c r="A25" s="94" t="s">
        <v>68</v>
      </c>
      <c r="B25" s="92">
        <f>$E$6</f>
        <v>1</v>
      </c>
      <c r="C25" s="92">
        <f t="shared" ref="C25:W25" si="10">$E$6</f>
        <v>1</v>
      </c>
      <c r="D25" s="92">
        <f t="shared" si="10"/>
        <v>1</v>
      </c>
      <c r="E25" s="92">
        <f t="shared" si="10"/>
        <v>1</v>
      </c>
      <c r="F25" s="92">
        <f t="shared" si="10"/>
        <v>1</v>
      </c>
      <c r="G25" s="92">
        <f t="shared" si="10"/>
        <v>1</v>
      </c>
      <c r="H25" s="92">
        <f t="shared" si="10"/>
        <v>1</v>
      </c>
      <c r="I25" s="92">
        <f t="shared" si="10"/>
        <v>1</v>
      </c>
      <c r="J25" s="92">
        <f t="shared" si="10"/>
        <v>1</v>
      </c>
      <c r="K25" s="92">
        <f t="shared" si="10"/>
        <v>1</v>
      </c>
      <c r="L25" s="92">
        <f t="shared" si="10"/>
        <v>1</v>
      </c>
      <c r="M25" s="92">
        <f t="shared" si="10"/>
        <v>1</v>
      </c>
      <c r="N25" s="92">
        <f t="shared" si="10"/>
        <v>1</v>
      </c>
      <c r="O25" s="92">
        <f t="shared" si="10"/>
        <v>1</v>
      </c>
      <c r="P25" s="92">
        <f t="shared" si="10"/>
        <v>1</v>
      </c>
      <c r="Q25" s="92">
        <f t="shared" si="10"/>
        <v>1</v>
      </c>
      <c r="R25" s="92">
        <f t="shared" si="10"/>
        <v>1</v>
      </c>
      <c r="S25" s="92">
        <f t="shared" si="10"/>
        <v>1</v>
      </c>
      <c r="T25" s="92">
        <f t="shared" si="10"/>
        <v>1</v>
      </c>
      <c r="U25" s="92">
        <f t="shared" si="10"/>
        <v>1</v>
      </c>
      <c r="V25" s="92">
        <f t="shared" si="10"/>
        <v>1</v>
      </c>
      <c r="W25" s="92">
        <f t="shared" si="10"/>
        <v>1</v>
      </c>
    </row>
    <row r="26" spans="1:23">
      <c r="A26" s="94" t="s">
        <v>70</v>
      </c>
      <c r="B26" s="92">
        <f>$E$2</f>
        <v>0</v>
      </c>
      <c r="C26" s="92">
        <f t="shared" ref="C26:W26" si="11">$E$2</f>
        <v>0</v>
      </c>
      <c r="D26" s="92">
        <f t="shared" si="11"/>
        <v>0</v>
      </c>
      <c r="E26" s="92">
        <f t="shared" si="11"/>
        <v>0</v>
      </c>
      <c r="F26" s="92">
        <f t="shared" si="11"/>
        <v>0</v>
      </c>
      <c r="G26" s="92">
        <f t="shared" si="11"/>
        <v>0</v>
      </c>
      <c r="H26" s="92">
        <f t="shared" si="11"/>
        <v>0</v>
      </c>
      <c r="I26" s="92">
        <f t="shared" si="11"/>
        <v>0</v>
      </c>
      <c r="J26" s="92">
        <f t="shared" si="11"/>
        <v>0</v>
      </c>
      <c r="K26" s="92">
        <f t="shared" si="11"/>
        <v>0</v>
      </c>
      <c r="L26" s="92">
        <f t="shared" si="11"/>
        <v>0</v>
      </c>
      <c r="M26" s="92">
        <f t="shared" si="11"/>
        <v>0</v>
      </c>
      <c r="N26" s="92">
        <f t="shared" si="11"/>
        <v>0</v>
      </c>
      <c r="O26" s="92">
        <f t="shared" si="11"/>
        <v>0</v>
      </c>
      <c r="P26" s="92">
        <f t="shared" si="11"/>
        <v>0</v>
      </c>
      <c r="Q26" s="92">
        <f t="shared" si="11"/>
        <v>0</v>
      </c>
      <c r="R26" s="92">
        <f t="shared" si="11"/>
        <v>0</v>
      </c>
      <c r="S26" s="92">
        <f t="shared" si="11"/>
        <v>0</v>
      </c>
      <c r="T26" s="92">
        <f t="shared" si="11"/>
        <v>0</v>
      </c>
      <c r="U26" s="92">
        <f t="shared" si="11"/>
        <v>0</v>
      </c>
      <c r="V26" s="92">
        <f t="shared" si="11"/>
        <v>0</v>
      </c>
      <c r="W26" s="92">
        <f t="shared" si="11"/>
        <v>0</v>
      </c>
    </row>
    <row r="27" spans="1:23">
      <c r="A27" s="94" t="s">
        <v>69</v>
      </c>
      <c r="B27" s="92">
        <f>$E$3</f>
        <v>3.5</v>
      </c>
      <c r="C27" s="92">
        <f t="shared" ref="C27:W27" si="12">$E$3</f>
        <v>3.5</v>
      </c>
      <c r="D27" s="92">
        <f t="shared" si="12"/>
        <v>3.5</v>
      </c>
      <c r="E27" s="92">
        <f t="shared" si="12"/>
        <v>3.5</v>
      </c>
      <c r="F27" s="92">
        <f t="shared" si="12"/>
        <v>3.5</v>
      </c>
      <c r="G27" s="92">
        <f t="shared" si="12"/>
        <v>3.5</v>
      </c>
      <c r="H27" s="92">
        <f t="shared" si="12"/>
        <v>3.5</v>
      </c>
      <c r="I27" s="92">
        <f t="shared" si="12"/>
        <v>3.5</v>
      </c>
      <c r="J27" s="92">
        <f t="shared" si="12"/>
        <v>3.5</v>
      </c>
      <c r="K27" s="92">
        <f t="shared" si="12"/>
        <v>3.5</v>
      </c>
      <c r="L27" s="92">
        <f t="shared" si="12"/>
        <v>3.5</v>
      </c>
      <c r="M27" s="92">
        <f t="shared" si="12"/>
        <v>3.5</v>
      </c>
      <c r="N27" s="92">
        <f t="shared" si="12"/>
        <v>3.5</v>
      </c>
      <c r="O27" s="92">
        <f t="shared" si="12"/>
        <v>3.5</v>
      </c>
      <c r="P27" s="92">
        <f t="shared" si="12"/>
        <v>3.5</v>
      </c>
      <c r="Q27" s="92">
        <f t="shared" si="12"/>
        <v>3.5</v>
      </c>
      <c r="R27" s="92">
        <f t="shared" si="12"/>
        <v>3.5</v>
      </c>
      <c r="S27" s="92">
        <f t="shared" si="12"/>
        <v>3.5</v>
      </c>
      <c r="T27" s="92">
        <f t="shared" si="12"/>
        <v>3.5</v>
      </c>
      <c r="U27" s="92">
        <f t="shared" si="12"/>
        <v>3.5</v>
      </c>
      <c r="V27" s="92">
        <f t="shared" si="12"/>
        <v>3.5</v>
      </c>
      <c r="W27" s="92">
        <f t="shared" si="12"/>
        <v>3.5</v>
      </c>
    </row>
    <row r="28" spans="1:23" s="92" customFormat="1">
      <c r="A28" s="94"/>
    </row>
    <row r="29" spans="1:23">
      <c r="A29" s="93" t="s">
        <v>57</v>
      </c>
    </row>
    <row r="30" spans="1:23">
      <c r="A30" s="94" t="s">
        <v>68</v>
      </c>
      <c r="B30" s="92">
        <f>$F$6</f>
        <v>2.2999999999999998</v>
      </c>
      <c r="C30" s="92">
        <f t="shared" ref="C30:W30" si="13">$F$6</f>
        <v>2.2999999999999998</v>
      </c>
      <c r="D30" s="92">
        <f t="shared" si="13"/>
        <v>2.2999999999999998</v>
      </c>
      <c r="E30" s="92">
        <f t="shared" si="13"/>
        <v>2.2999999999999998</v>
      </c>
      <c r="F30" s="92">
        <f t="shared" si="13"/>
        <v>2.2999999999999998</v>
      </c>
      <c r="G30" s="92">
        <f t="shared" si="13"/>
        <v>2.2999999999999998</v>
      </c>
      <c r="H30" s="92">
        <f t="shared" si="13"/>
        <v>2.2999999999999998</v>
      </c>
      <c r="I30" s="92">
        <f t="shared" si="13"/>
        <v>2.2999999999999998</v>
      </c>
      <c r="J30" s="92">
        <f t="shared" si="13"/>
        <v>2.2999999999999998</v>
      </c>
      <c r="K30" s="92">
        <f t="shared" si="13"/>
        <v>2.2999999999999998</v>
      </c>
      <c r="L30" s="92">
        <f t="shared" si="13"/>
        <v>2.2999999999999998</v>
      </c>
      <c r="M30" s="92">
        <f t="shared" si="13"/>
        <v>2.2999999999999998</v>
      </c>
      <c r="N30" s="92">
        <f t="shared" si="13"/>
        <v>2.2999999999999998</v>
      </c>
      <c r="O30" s="92">
        <f t="shared" si="13"/>
        <v>2.2999999999999998</v>
      </c>
      <c r="P30" s="92">
        <f t="shared" si="13"/>
        <v>2.2999999999999998</v>
      </c>
      <c r="Q30" s="92">
        <f t="shared" si="13"/>
        <v>2.2999999999999998</v>
      </c>
      <c r="R30" s="92">
        <f t="shared" si="13"/>
        <v>2.2999999999999998</v>
      </c>
      <c r="S30" s="92">
        <f t="shared" si="13"/>
        <v>2.2999999999999998</v>
      </c>
      <c r="T30" s="92">
        <f t="shared" si="13"/>
        <v>2.2999999999999998</v>
      </c>
      <c r="U30" s="92">
        <f t="shared" si="13"/>
        <v>2.2999999999999998</v>
      </c>
      <c r="V30" s="92">
        <f t="shared" si="13"/>
        <v>2.2999999999999998</v>
      </c>
      <c r="W30" s="92">
        <f t="shared" si="13"/>
        <v>2.2999999999999998</v>
      </c>
    </row>
    <row r="31" spans="1:23">
      <c r="A31" s="94" t="s">
        <v>70</v>
      </c>
      <c r="B31" s="92">
        <f>$F$2</f>
        <v>0</v>
      </c>
      <c r="C31" s="92">
        <f t="shared" ref="C31:W31" si="14">$F$2</f>
        <v>0</v>
      </c>
      <c r="D31" s="92">
        <f t="shared" si="14"/>
        <v>0</v>
      </c>
      <c r="E31" s="92">
        <f t="shared" si="14"/>
        <v>0</v>
      </c>
      <c r="F31" s="92">
        <f t="shared" si="14"/>
        <v>0</v>
      </c>
      <c r="G31" s="92">
        <f t="shared" si="14"/>
        <v>0</v>
      </c>
      <c r="H31" s="92">
        <f t="shared" si="14"/>
        <v>0</v>
      </c>
      <c r="I31" s="92">
        <f t="shared" si="14"/>
        <v>0</v>
      </c>
      <c r="J31" s="92">
        <f t="shared" si="14"/>
        <v>0</v>
      </c>
      <c r="K31" s="92">
        <f t="shared" si="14"/>
        <v>0</v>
      </c>
      <c r="L31" s="92">
        <f t="shared" si="14"/>
        <v>0</v>
      </c>
      <c r="M31" s="92">
        <f t="shared" si="14"/>
        <v>0</v>
      </c>
      <c r="N31" s="92">
        <f t="shared" si="14"/>
        <v>0</v>
      </c>
      <c r="O31" s="92">
        <f t="shared" si="14"/>
        <v>0</v>
      </c>
      <c r="P31" s="92">
        <f t="shared" si="14"/>
        <v>0</v>
      </c>
      <c r="Q31" s="92">
        <f t="shared" si="14"/>
        <v>0</v>
      </c>
      <c r="R31" s="92">
        <f t="shared" si="14"/>
        <v>0</v>
      </c>
      <c r="S31" s="92">
        <f t="shared" si="14"/>
        <v>0</v>
      </c>
      <c r="T31" s="92">
        <f t="shared" si="14"/>
        <v>0</v>
      </c>
      <c r="U31" s="92">
        <f t="shared" si="14"/>
        <v>0</v>
      </c>
      <c r="V31" s="92">
        <f t="shared" si="14"/>
        <v>0</v>
      </c>
      <c r="W31" s="92">
        <f t="shared" si="14"/>
        <v>0</v>
      </c>
    </row>
    <row r="32" spans="1:23">
      <c r="A32" s="94" t="s">
        <v>69</v>
      </c>
      <c r="B32" s="92">
        <f>$F$3</f>
        <v>2.2000000000000002</v>
      </c>
      <c r="C32" s="92">
        <f t="shared" ref="C32:W32" si="15">$F$3</f>
        <v>2.2000000000000002</v>
      </c>
      <c r="D32" s="92">
        <f t="shared" si="15"/>
        <v>2.2000000000000002</v>
      </c>
      <c r="E32" s="92">
        <f t="shared" si="15"/>
        <v>2.2000000000000002</v>
      </c>
      <c r="F32" s="92">
        <f t="shared" si="15"/>
        <v>2.2000000000000002</v>
      </c>
      <c r="G32" s="92">
        <f t="shared" si="15"/>
        <v>2.2000000000000002</v>
      </c>
      <c r="H32" s="92">
        <f t="shared" si="15"/>
        <v>2.2000000000000002</v>
      </c>
      <c r="I32" s="92">
        <f t="shared" si="15"/>
        <v>2.2000000000000002</v>
      </c>
      <c r="J32" s="92">
        <f t="shared" si="15"/>
        <v>2.2000000000000002</v>
      </c>
      <c r="K32" s="92">
        <f t="shared" si="15"/>
        <v>2.2000000000000002</v>
      </c>
      <c r="L32" s="92">
        <f t="shared" si="15"/>
        <v>2.2000000000000002</v>
      </c>
      <c r="M32" s="92">
        <f t="shared" si="15"/>
        <v>2.2000000000000002</v>
      </c>
      <c r="N32" s="92">
        <f t="shared" si="15"/>
        <v>2.2000000000000002</v>
      </c>
      <c r="O32" s="92">
        <f t="shared" si="15"/>
        <v>2.2000000000000002</v>
      </c>
      <c r="P32" s="92">
        <f t="shared" si="15"/>
        <v>2.2000000000000002</v>
      </c>
      <c r="Q32" s="92">
        <f t="shared" si="15"/>
        <v>2.2000000000000002</v>
      </c>
      <c r="R32" s="92">
        <f t="shared" si="15"/>
        <v>2.2000000000000002</v>
      </c>
      <c r="S32" s="92">
        <f t="shared" si="15"/>
        <v>2.2000000000000002</v>
      </c>
      <c r="T32" s="92">
        <f t="shared" si="15"/>
        <v>2.2000000000000002</v>
      </c>
      <c r="U32" s="92">
        <f t="shared" si="15"/>
        <v>2.2000000000000002</v>
      </c>
      <c r="V32" s="92">
        <f t="shared" si="15"/>
        <v>2.2000000000000002</v>
      </c>
      <c r="W32" s="92">
        <f t="shared" si="15"/>
        <v>2.2000000000000002</v>
      </c>
    </row>
    <row r="34" spans="1:23" s="97" customFormat="1">
      <c r="A34" s="100" t="s">
        <v>81</v>
      </c>
    </row>
    <row r="35" spans="1:23" s="97" customFormat="1">
      <c r="A35" s="94" t="s">
        <v>68</v>
      </c>
      <c r="B35" s="74">
        <f>$G$6</f>
        <v>26.880653395272521</v>
      </c>
      <c r="C35" s="74">
        <f t="shared" ref="C35:W35" si="16">$G$6</f>
        <v>26.880653395272521</v>
      </c>
      <c r="D35" s="74">
        <f t="shared" si="16"/>
        <v>26.880653395272521</v>
      </c>
      <c r="E35" s="74">
        <f t="shared" si="16"/>
        <v>26.880653395272521</v>
      </c>
      <c r="F35" s="74">
        <f t="shared" si="16"/>
        <v>26.880653395272521</v>
      </c>
      <c r="G35" s="74">
        <f t="shared" si="16"/>
        <v>26.880653395272521</v>
      </c>
      <c r="H35" s="74">
        <f t="shared" si="16"/>
        <v>26.880653395272521</v>
      </c>
      <c r="I35" s="74">
        <f t="shared" si="16"/>
        <v>26.880653395272521</v>
      </c>
      <c r="J35" s="74">
        <f t="shared" si="16"/>
        <v>26.880653395272521</v>
      </c>
      <c r="K35" s="74">
        <f t="shared" si="16"/>
        <v>26.880653395272521</v>
      </c>
      <c r="L35" s="74">
        <f t="shared" si="16"/>
        <v>26.880653395272521</v>
      </c>
      <c r="M35" s="74">
        <f t="shared" si="16"/>
        <v>26.880653395272521</v>
      </c>
      <c r="N35" s="74">
        <f t="shared" si="16"/>
        <v>26.880653395272521</v>
      </c>
      <c r="O35" s="74">
        <f t="shared" si="16"/>
        <v>26.880653395272521</v>
      </c>
      <c r="P35" s="74">
        <f t="shared" si="16"/>
        <v>26.880653395272521</v>
      </c>
      <c r="Q35" s="74">
        <f t="shared" si="16"/>
        <v>26.880653395272521</v>
      </c>
      <c r="R35" s="74">
        <f t="shared" si="16"/>
        <v>26.880653395272521</v>
      </c>
      <c r="S35" s="74">
        <f t="shared" si="16"/>
        <v>26.880653395272521</v>
      </c>
      <c r="T35" s="74">
        <f t="shared" si="16"/>
        <v>26.880653395272521</v>
      </c>
      <c r="U35" s="74">
        <f t="shared" si="16"/>
        <v>26.880653395272521</v>
      </c>
      <c r="V35" s="74">
        <f t="shared" si="16"/>
        <v>26.880653395272521</v>
      </c>
      <c r="W35" s="74">
        <f t="shared" si="16"/>
        <v>26.880653395272521</v>
      </c>
    </row>
    <row r="36" spans="1:23" s="97" customFormat="1">
      <c r="A36" s="94" t="s">
        <v>70</v>
      </c>
      <c r="B36" s="97">
        <f>$G$2</f>
        <v>27</v>
      </c>
      <c r="C36" s="97">
        <f t="shared" ref="C36:W36" si="17">$G$2</f>
        <v>27</v>
      </c>
      <c r="D36" s="97">
        <f t="shared" si="17"/>
        <v>27</v>
      </c>
      <c r="E36" s="97">
        <f t="shared" si="17"/>
        <v>27</v>
      </c>
      <c r="F36" s="97">
        <f t="shared" si="17"/>
        <v>27</v>
      </c>
      <c r="G36" s="97">
        <f t="shared" si="17"/>
        <v>27</v>
      </c>
      <c r="H36" s="97">
        <f t="shared" si="17"/>
        <v>27</v>
      </c>
      <c r="I36" s="97">
        <f t="shared" si="17"/>
        <v>27</v>
      </c>
      <c r="J36" s="97">
        <f t="shared" si="17"/>
        <v>27</v>
      </c>
      <c r="K36" s="97">
        <f t="shared" si="17"/>
        <v>27</v>
      </c>
      <c r="L36" s="97">
        <f t="shared" si="17"/>
        <v>27</v>
      </c>
      <c r="M36" s="97">
        <f t="shared" si="17"/>
        <v>27</v>
      </c>
      <c r="N36" s="97">
        <f t="shared" si="17"/>
        <v>27</v>
      </c>
      <c r="O36" s="97">
        <f t="shared" si="17"/>
        <v>27</v>
      </c>
      <c r="P36" s="97">
        <f t="shared" si="17"/>
        <v>27</v>
      </c>
      <c r="Q36" s="97">
        <f t="shared" si="17"/>
        <v>27</v>
      </c>
      <c r="R36" s="97">
        <f t="shared" si="17"/>
        <v>27</v>
      </c>
      <c r="S36" s="97">
        <f t="shared" si="17"/>
        <v>27</v>
      </c>
      <c r="T36" s="97">
        <f t="shared" si="17"/>
        <v>27</v>
      </c>
      <c r="U36" s="97">
        <f t="shared" si="17"/>
        <v>27</v>
      </c>
      <c r="V36" s="97">
        <f t="shared" si="17"/>
        <v>27</v>
      </c>
      <c r="W36" s="97">
        <f t="shared" si="17"/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Entry</vt:lpstr>
      <vt:lpstr>Organized Data</vt:lpstr>
      <vt:lpstr>For Chart</vt:lpstr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2017-11-20T23:48:08Z</dcterms:modified>
</cp:coreProperties>
</file>